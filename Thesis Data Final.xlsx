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/>
  <mc:AlternateContent xmlns:mc="http://schemas.openxmlformats.org/markup-compatibility/2006">
    <mc:Choice Requires="x15">
      <x15ac:absPath xmlns:x15ac="http://schemas.microsoft.com/office/spreadsheetml/2010/11/ac" url="/Users/miaandrews/Desktop/"/>
    </mc:Choice>
  </mc:AlternateContent>
  <xr:revisionPtr revIDLastSave="0" documentId="8_{31F9FF01-62A1-7544-AB03-73DED346D074}" xr6:coauthVersionLast="47" xr6:coauthVersionMax="47" xr10:uidLastSave="{00000000-0000-0000-0000-000000000000}"/>
  <bookViews>
    <workbookView xWindow="0" yWindow="660" windowWidth="29400" windowHeight="16660" firstSheet="1" activeTab="4" xr2:uid="{00000000-000D-0000-FFFF-FFFF00000000}"/>
  </bookViews>
  <sheets>
    <sheet name="Parameters" sheetId="24" r:id="rId1"/>
    <sheet name="Wealth Models" sheetId="26" r:id="rId2"/>
    <sheet name="Income means-test 5 deciles" sheetId="31" r:id="rId3"/>
    <sheet name="Income means-test 4 deciles" sheetId="29" r:id="rId4"/>
    <sheet name="Income means-test 3 deciles" sheetId="28" r:id="rId5"/>
    <sheet name="Income universal" sheetId="21" r:id="rId6"/>
    <sheet name="Revenue share calc" sheetId="25" r:id="rId7"/>
    <sheet name="Graphs" sheetId="3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26" l="1"/>
  <c r="B49" i="24"/>
  <c r="E42" i="24"/>
  <c r="D42" i="24"/>
  <c r="D39" i="24"/>
  <c r="B47" i="24"/>
  <c r="B231" i="30"/>
  <c r="B230" i="30"/>
  <c r="B228" i="30"/>
  <c r="B8" i="24"/>
  <c r="B4" i="24"/>
  <c r="D31" i="29" s="1"/>
  <c r="B5" i="24"/>
  <c r="E31" i="28" s="1"/>
  <c r="B223" i="30"/>
  <c r="B222" i="30"/>
  <c r="B220" i="30"/>
  <c r="E39" i="24"/>
  <c r="D40" i="24"/>
  <c r="E40" i="24"/>
  <c r="D41" i="24"/>
  <c r="E41" i="24"/>
  <c r="B48" i="24"/>
  <c r="AB31" i="31"/>
  <c r="O31" i="31"/>
  <c r="Q31" i="31" s="1"/>
  <c r="I31" i="31"/>
  <c r="K31" i="31" s="1"/>
  <c r="AB17" i="31"/>
  <c r="O17" i="31"/>
  <c r="Q17" i="31" s="1"/>
  <c r="I17" i="31"/>
  <c r="AB3" i="31"/>
  <c r="O3" i="31"/>
  <c r="Q3" i="31" s="1"/>
  <c r="I3" i="31"/>
  <c r="K3" i="31" s="1"/>
  <c r="AB31" i="29"/>
  <c r="O31" i="29"/>
  <c r="Q31" i="29" s="1"/>
  <c r="I31" i="29"/>
  <c r="J31" i="29" s="1"/>
  <c r="AB17" i="29"/>
  <c r="O17" i="29"/>
  <c r="P17" i="29" s="1"/>
  <c r="I17" i="29"/>
  <c r="AB3" i="29"/>
  <c r="O3" i="29"/>
  <c r="Q3" i="29" s="1"/>
  <c r="I3" i="29"/>
  <c r="K3" i="29" s="1"/>
  <c r="D31" i="24"/>
  <c r="E31" i="24" s="1"/>
  <c r="O31" i="21"/>
  <c r="I31" i="21"/>
  <c r="K31" i="21" s="1"/>
  <c r="J3" i="26"/>
  <c r="B24" i="24"/>
  <c r="D32" i="24"/>
  <c r="E32" i="24" s="1"/>
  <c r="D33" i="24"/>
  <c r="E33" i="24" s="1"/>
  <c r="D34" i="24"/>
  <c r="E34" i="24" s="1"/>
  <c r="J15" i="26"/>
  <c r="K15" i="26" s="1"/>
  <c r="C22" i="25"/>
  <c r="C21" i="25"/>
  <c r="C20" i="25"/>
  <c r="C19" i="25"/>
  <c r="CB31" i="21"/>
  <c r="CB17" i="21"/>
  <c r="I3" i="21"/>
  <c r="J3" i="21" s="1"/>
  <c r="D31" i="31"/>
  <c r="AB31" i="28"/>
  <c r="O31" i="28"/>
  <c r="I31" i="28"/>
  <c r="AB17" i="28"/>
  <c r="O17" i="28"/>
  <c r="I17" i="28"/>
  <c r="AB3" i="28"/>
  <c r="O3" i="28"/>
  <c r="I3" i="28"/>
  <c r="D3" i="28"/>
  <c r="AA31" i="21"/>
  <c r="D31" i="21"/>
  <c r="AA17" i="21"/>
  <c r="E16" i="24"/>
  <c r="E17" i="24"/>
  <c r="E18" i="24"/>
  <c r="E19" i="24"/>
  <c r="E20" i="24"/>
  <c r="E21" i="24"/>
  <c r="E22" i="24"/>
  <c r="E23" i="24"/>
  <c r="E24" i="24"/>
  <c r="E15" i="24"/>
  <c r="O17" i="21"/>
  <c r="I17" i="21"/>
  <c r="J17" i="21" s="1"/>
  <c r="O3" i="21"/>
  <c r="G31" i="24"/>
  <c r="G32" i="24"/>
  <c r="G33" i="24"/>
  <c r="G34" i="24"/>
  <c r="G30" i="24"/>
  <c r="B22" i="25"/>
  <c r="F18" i="25"/>
  <c r="B21" i="25"/>
  <c r="B20" i="25"/>
  <c r="B19" i="25"/>
  <c r="B18" i="25"/>
  <c r="D18" i="25" s="1"/>
  <c r="AA3" i="21"/>
  <c r="B23" i="24"/>
  <c r="B22" i="24"/>
  <c r="B21" i="24"/>
  <c r="B20" i="24"/>
  <c r="B19" i="24"/>
  <c r="B18" i="24"/>
  <c r="B17" i="24"/>
  <c r="B16" i="24"/>
  <c r="B15" i="24"/>
  <c r="E3" i="28" l="1"/>
  <c r="D31" i="28"/>
  <c r="D3" i="31"/>
  <c r="E3" i="26"/>
  <c r="AC5" i="21"/>
  <c r="D17" i="29"/>
  <c r="AD4" i="31"/>
  <c r="AD6" i="31"/>
  <c r="AD13" i="31"/>
  <c r="AH4" i="31"/>
  <c r="AD10" i="29"/>
  <c r="AD13" i="28"/>
  <c r="AD8" i="31"/>
  <c r="AD9" i="31"/>
  <c r="AC11" i="21"/>
  <c r="V8" i="26"/>
  <c r="V20" i="26"/>
  <c r="AD5" i="28"/>
  <c r="AD5" i="31"/>
  <c r="D3" i="21"/>
  <c r="E15" i="26"/>
  <c r="D17" i="31"/>
  <c r="AD11" i="31"/>
  <c r="V16" i="26"/>
  <c r="AD13" i="29"/>
  <c r="AD4" i="28"/>
  <c r="AD19" i="28"/>
  <c r="AC4" i="21"/>
  <c r="AC13" i="21"/>
  <c r="AD7" i="29"/>
  <c r="D17" i="21"/>
  <c r="E31" i="31"/>
  <c r="V18" i="26"/>
  <c r="AD11" i="29"/>
  <c r="AD12" i="28"/>
  <c r="AC12" i="21"/>
  <c r="AD10" i="31"/>
  <c r="V19" i="26"/>
  <c r="AD12" i="29"/>
  <c r="V5" i="26"/>
  <c r="V17" i="26"/>
  <c r="AD11" i="28"/>
  <c r="E31" i="21"/>
  <c r="E3" i="31"/>
  <c r="AC8" i="21"/>
  <c r="AD8" i="28"/>
  <c r="AD8" i="29"/>
  <c r="E17" i="21"/>
  <c r="AC9" i="21"/>
  <c r="AD9" i="28"/>
  <c r="AD7" i="31"/>
  <c r="AD6" i="29"/>
  <c r="AD7" i="28"/>
  <c r="AC7" i="21"/>
  <c r="AD9" i="29"/>
  <c r="AD10" i="28"/>
  <c r="AC10" i="21"/>
  <c r="V7" i="26"/>
  <c r="AD18" i="31"/>
  <c r="V4" i="26"/>
  <c r="AD5" i="29"/>
  <c r="AD6" i="28"/>
  <c r="AC6" i="21"/>
  <c r="AD12" i="31"/>
  <c r="V6" i="26"/>
  <c r="AD4" i="29"/>
  <c r="AH10" i="29"/>
  <c r="AD37" i="31"/>
  <c r="AD26" i="31"/>
  <c r="F3" i="29"/>
  <c r="AD36" i="31"/>
  <c r="AD18" i="29"/>
  <c r="AD33" i="31"/>
  <c r="AD24" i="31"/>
  <c r="AD21" i="29"/>
  <c r="F3" i="21"/>
  <c r="G3" i="21" s="1"/>
  <c r="AD22" i="31"/>
  <c r="AD41" i="31"/>
  <c r="AD39" i="29"/>
  <c r="AD34" i="31"/>
  <c r="AB31" i="21"/>
  <c r="AH22" i="29"/>
  <c r="AD36" i="29"/>
  <c r="AD23" i="29"/>
  <c r="AD24" i="29"/>
  <c r="AD41" i="29"/>
  <c r="P17" i="31"/>
  <c r="AD34" i="29"/>
  <c r="AD38" i="31"/>
  <c r="AD35" i="29"/>
  <c r="AH24" i="31"/>
  <c r="F17" i="29"/>
  <c r="AD22" i="29"/>
  <c r="F31" i="29"/>
  <c r="G31" i="29" s="1"/>
  <c r="L31" i="29" s="1"/>
  <c r="AD33" i="29"/>
  <c r="AD40" i="29"/>
  <c r="AD23" i="31"/>
  <c r="F31" i="31"/>
  <c r="AD35" i="31"/>
  <c r="K31" i="29"/>
  <c r="AH19" i="29"/>
  <c r="AD25" i="29"/>
  <c r="AD26" i="29"/>
  <c r="AD25" i="31"/>
  <c r="AH35" i="31"/>
  <c r="AD37" i="29"/>
  <c r="E17" i="31"/>
  <c r="AD19" i="31"/>
  <c r="AD39" i="31"/>
  <c r="F15" i="26"/>
  <c r="D17" i="28"/>
  <c r="D3" i="29"/>
  <c r="AD19" i="29"/>
  <c r="AD27" i="29"/>
  <c r="AH35" i="29"/>
  <c r="AH37" i="29"/>
  <c r="F17" i="31"/>
  <c r="AD20" i="31"/>
  <c r="AD27" i="31"/>
  <c r="AD32" i="31"/>
  <c r="AD40" i="31"/>
  <c r="F3" i="31"/>
  <c r="H3" i="31" s="1"/>
  <c r="AC31" i="31"/>
  <c r="E17" i="28"/>
  <c r="D2" i="25"/>
  <c r="E3" i="29"/>
  <c r="H3" i="29" s="1"/>
  <c r="S3" i="29" s="1"/>
  <c r="AD20" i="29"/>
  <c r="AD32" i="29"/>
  <c r="AD38" i="29"/>
  <c r="AD21" i="31"/>
  <c r="F3" i="26"/>
  <c r="E17" i="29"/>
  <c r="E31" i="29"/>
  <c r="AH32" i="29"/>
  <c r="AH20" i="29"/>
  <c r="P31" i="31"/>
  <c r="K17" i="29"/>
  <c r="AH10" i="31"/>
  <c r="J3" i="29"/>
  <c r="AH8" i="29"/>
  <c r="J17" i="29"/>
  <c r="AH5" i="29"/>
  <c r="AH34" i="29"/>
  <c r="G31" i="31"/>
  <c r="Q17" i="29"/>
  <c r="AH22" i="31"/>
  <c r="AH8" i="31"/>
  <c r="J31" i="31"/>
  <c r="AH40" i="31"/>
  <c r="AI32" i="21"/>
  <c r="K17" i="21"/>
  <c r="AH19" i="31"/>
  <c r="AH26" i="31"/>
  <c r="AC3" i="31"/>
  <c r="AH13" i="31"/>
  <c r="AH11" i="31"/>
  <c r="AC17" i="31"/>
  <c r="AH20" i="31"/>
  <c r="J17" i="31"/>
  <c r="AH27" i="31"/>
  <c r="J3" i="31"/>
  <c r="K17" i="31"/>
  <c r="AH12" i="31"/>
  <c r="AH7" i="31"/>
  <c r="AH6" i="31"/>
  <c r="AH5" i="31"/>
  <c r="P3" i="31"/>
  <c r="AH9" i="31"/>
  <c r="AH37" i="31"/>
  <c r="AH32" i="31"/>
  <c r="AH34" i="31"/>
  <c r="AH39" i="31"/>
  <c r="AH33" i="31"/>
  <c r="AH36" i="31"/>
  <c r="AH18" i="31"/>
  <c r="AH41" i="31"/>
  <c r="AH38" i="31"/>
  <c r="AH21" i="31"/>
  <c r="AH23" i="31"/>
  <c r="AH25" i="31"/>
  <c r="AH12" i="29"/>
  <c r="AH7" i="29"/>
  <c r="AH11" i="29"/>
  <c r="AH9" i="29"/>
  <c r="AH13" i="29"/>
  <c r="AH4" i="29"/>
  <c r="AH6" i="29"/>
  <c r="P3" i="29"/>
  <c r="AC3" i="29"/>
  <c r="AH26" i="29"/>
  <c r="AH27" i="29"/>
  <c r="AH18" i="29"/>
  <c r="AH24" i="29"/>
  <c r="AC17" i="29"/>
  <c r="AH40" i="29"/>
  <c r="AH39" i="29"/>
  <c r="AH33" i="29"/>
  <c r="AH36" i="29"/>
  <c r="AH41" i="29"/>
  <c r="P31" i="29"/>
  <c r="AC31" i="29"/>
  <c r="AH38" i="29"/>
  <c r="AH21" i="29"/>
  <c r="AH23" i="29"/>
  <c r="AH25" i="29"/>
  <c r="Q31" i="21"/>
  <c r="P31" i="21"/>
  <c r="AH5" i="28"/>
  <c r="AH6" i="28"/>
  <c r="AH7" i="28"/>
  <c r="AH8" i="28"/>
  <c r="AH9" i="28"/>
  <c r="AH10" i="28"/>
  <c r="AH11" i="28"/>
  <c r="AH12" i="28"/>
  <c r="AH13" i="28"/>
  <c r="AH4" i="28"/>
  <c r="AH19" i="28"/>
  <c r="AH20" i="28"/>
  <c r="AH21" i="28"/>
  <c r="AH22" i="28"/>
  <c r="AH23" i="28"/>
  <c r="AH24" i="28"/>
  <c r="AH25" i="28"/>
  <c r="AH26" i="28"/>
  <c r="AH27" i="28"/>
  <c r="AH18" i="28"/>
  <c r="AH33" i="28"/>
  <c r="AH34" i="28"/>
  <c r="AH35" i="28"/>
  <c r="AH36" i="28"/>
  <c r="AH37" i="28"/>
  <c r="AH38" i="28"/>
  <c r="AH39" i="28"/>
  <c r="AH40" i="28"/>
  <c r="AH41" i="28"/>
  <c r="AH32" i="28"/>
  <c r="AI5" i="21"/>
  <c r="AI6" i="21"/>
  <c r="AI7" i="21"/>
  <c r="AI8" i="21"/>
  <c r="AI9" i="21"/>
  <c r="AI10" i="21"/>
  <c r="AI11" i="21"/>
  <c r="AI12" i="21"/>
  <c r="AI13" i="21"/>
  <c r="AI4" i="21"/>
  <c r="AI19" i="21"/>
  <c r="AI20" i="21"/>
  <c r="AI21" i="21"/>
  <c r="AI22" i="21"/>
  <c r="AI23" i="21"/>
  <c r="AI24" i="21"/>
  <c r="AI25" i="21"/>
  <c r="AI26" i="21"/>
  <c r="AI27" i="21"/>
  <c r="AI18" i="21"/>
  <c r="AI33" i="21"/>
  <c r="AI34" i="21"/>
  <c r="AI35" i="21"/>
  <c r="AI36" i="21"/>
  <c r="AI37" i="21"/>
  <c r="AI38" i="21"/>
  <c r="AI39" i="21"/>
  <c r="AI40" i="21"/>
  <c r="AI41" i="21"/>
  <c r="F31" i="28"/>
  <c r="H31" i="28" s="1"/>
  <c r="F17" i="28"/>
  <c r="F3" i="28"/>
  <c r="G3" i="28" s="1"/>
  <c r="G15" i="26"/>
  <c r="F31" i="21"/>
  <c r="H31" i="21" s="1"/>
  <c r="F2" i="25"/>
  <c r="AD32" i="28"/>
  <c r="AD18" i="28"/>
  <c r="AC18" i="21"/>
  <c r="AC32" i="21"/>
  <c r="F3" i="25"/>
  <c r="AD33" i="28"/>
  <c r="AC19" i="21"/>
  <c r="AC33" i="21"/>
  <c r="AD34" i="28"/>
  <c r="AD20" i="28"/>
  <c r="AC20" i="21"/>
  <c r="AC34" i="21"/>
  <c r="F5" i="25"/>
  <c r="AD35" i="28"/>
  <c r="AD21" i="28"/>
  <c r="AC21" i="21"/>
  <c r="AC35" i="21"/>
  <c r="AD36" i="28"/>
  <c r="AD22" i="28"/>
  <c r="AC22" i="21"/>
  <c r="AC36" i="21"/>
  <c r="AD37" i="28"/>
  <c r="AD23" i="28"/>
  <c r="AC23" i="21"/>
  <c r="AC37" i="21"/>
  <c r="AD38" i="28"/>
  <c r="AD24" i="28"/>
  <c r="AC24" i="21"/>
  <c r="AC38" i="21"/>
  <c r="AD39" i="28"/>
  <c r="AD25" i="28"/>
  <c r="AC25" i="21"/>
  <c r="AC39" i="21"/>
  <c r="AD40" i="28"/>
  <c r="AD26" i="28"/>
  <c r="AC26" i="21"/>
  <c r="AC40" i="21"/>
  <c r="AD41" i="28"/>
  <c r="AD27" i="28"/>
  <c r="AC27" i="21"/>
  <c r="AC41" i="21"/>
  <c r="K3" i="28"/>
  <c r="J3" i="28"/>
  <c r="Q3" i="28"/>
  <c r="P3" i="28"/>
  <c r="AC3" i="28"/>
  <c r="K17" i="28"/>
  <c r="J17" i="28"/>
  <c r="Q17" i="28"/>
  <c r="P17" i="28"/>
  <c r="AC17" i="28"/>
  <c r="K31" i="28"/>
  <c r="J31" i="28"/>
  <c r="Q31" i="28"/>
  <c r="P31" i="28"/>
  <c r="AC31" i="28"/>
  <c r="L15" i="26"/>
  <c r="J31" i="21"/>
  <c r="AB17" i="21"/>
  <c r="G3" i="26"/>
  <c r="H3" i="26" s="1"/>
  <c r="F20" i="25"/>
  <c r="D20" i="25"/>
  <c r="F19" i="25"/>
  <c r="D19" i="25"/>
  <c r="D22" i="25"/>
  <c r="F22" i="25"/>
  <c r="F21" i="25"/>
  <c r="D21" i="25"/>
  <c r="F17" i="21"/>
  <c r="D3" i="25"/>
  <c r="F4" i="25"/>
  <c r="D4" i="25"/>
  <c r="D5" i="25"/>
  <c r="F6" i="25"/>
  <c r="D6" i="25"/>
  <c r="F7" i="25"/>
  <c r="D7" i="25"/>
  <c r="F8" i="25"/>
  <c r="D8" i="25"/>
  <c r="F9" i="25"/>
  <c r="D9" i="25"/>
  <c r="F10" i="25"/>
  <c r="D10" i="25"/>
  <c r="F11" i="25"/>
  <c r="D11" i="25"/>
  <c r="L3" i="26"/>
  <c r="K3" i="26"/>
  <c r="Q17" i="21"/>
  <c r="P17" i="21"/>
  <c r="AB3" i="21"/>
  <c r="Q3" i="21"/>
  <c r="P3" i="21"/>
  <c r="K3" i="21"/>
  <c r="E3" i="21"/>
  <c r="G17" i="29" l="1"/>
  <c r="R17" i="29" s="1"/>
  <c r="H31" i="31"/>
  <c r="V3" i="26"/>
  <c r="G3" i="29"/>
  <c r="L3" i="29" s="1"/>
  <c r="N3" i="29" s="1"/>
  <c r="H31" i="29"/>
  <c r="M31" i="29" s="1"/>
  <c r="N31" i="29" s="1"/>
  <c r="N34" i="29" s="1"/>
  <c r="H17" i="31"/>
  <c r="S17" i="31" s="1"/>
  <c r="H15" i="26"/>
  <c r="M15" i="26" s="1"/>
  <c r="H3" i="21"/>
  <c r="S3" i="21" s="1"/>
  <c r="R31" i="29"/>
  <c r="I3" i="26"/>
  <c r="I15" i="26"/>
  <c r="N15" i="26" s="1"/>
  <c r="M3" i="29"/>
  <c r="G31" i="21"/>
  <c r="L31" i="21" s="1"/>
  <c r="AD17" i="31"/>
  <c r="H3" i="28"/>
  <c r="M3" i="28" s="1"/>
  <c r="L31" i="31"/>
  <c r="AD31" i="29"/>
  <c r="G17" i="28"/>
  <c r="L17" i="28" s="1"/>
  <c r="AD31" i="31"/>
  <c r="F24" i="25"/>
  <c r="AD3" i="31"/>
  <c r="AD17" i="29"/>
  <c r="S3" i="31"/>
  <c r="M3" i="31"/>
  <c r="S31" i="31"/>
  <c r="M31" i="31"/>
  <c r="R31" i="31"/>
  <c r="AD3" i="29"/>
  <c r="G3" i="31"/>
  <c r="R3" i="31" s="1"/>
  <c r="L17" i="29"/>
  <c r="R3" i="29"/>
  <c r="T3" i="29" s="1"/>
  <c r="R3" i="28"/>
  <c r="G17" i="31"/>
  <c r="R17" i="31" s="1"/>
  <c r="H17" i="29"/>
  <c r="S17" i="29" s="1"/>
  <c r="T17" i="29" s="1"/>
  <c r="M31" i="28"/>
  <c r="D24" i="25"/>
  <c r="G31" i="28"/>
  <c r="R31" i="28" s="1"/>
  <c r="H17" i="28"/>
  <c r="S17" i="28" s="1"/>
  <c r="M3" i="26"/>
  <c r="S31" i="28"/>
  <c r="L3" i="28"/>
  <c r="N3" i="26"/>
  <c r="D13" i="25"/>
  <c r="S31" i="21"/>
  <c r="M31" i="21"/>
  <c r="V15" i="26"/>
  <c r="AC31" i="21"/>
  <c r="AC17" i="21"/>
  <c r="AD17" i="28"/>
  <c r="AD31" i="28"/>
  <c r="AD3" i="28"/>
  <c r="AC3" i="21"/>
  <c r="G17" i="21"/>
  <c r="H17" i="21"/>
  <c r="R3" i="21"/>
  <c r="L3" i="21"/>
  <c r="F13" i="25"/>
  <c r="T17" i="31" l="1"/>
  <c r="M17" i="31"/>
  <c r="S31" i="29"/>
  <c r="T31" i="29" s="1"/>
  <c r="M3" i="21"/>
  <c r="R31" i="21"/>
  <c r="T31" i="21" s="1"/>
  <c r="N35" i="29"/>
  <c r="N37" i="29"/>
  <c r="S3" i="28"/>
  <c r="T3" i="28" s="1"/>
  <c r="O3" i="26"/>
  <c r="W4" i="26" s="1"/>
  <c r="T31" i="28"/>
  <c r="T3" i="31"/>
  <c r="N32" i="29"/>
  <c r="N36" i="29"/>
  <c r="N41" i="29"/>
  <c r="N38" i="29"/>
  <c r="T31" i="31"/>
  <c r="AE31" i="29"/>
  <c r="AE35" i="29" s="1"/>
  <c r="R17" i="28"/>
  <c r="T17" i="28" s="1"/>
  <c r="L31" i="28"/>
  <c r="N31" i="28" s="1"/>
  <c r="N36" i="28" s="1"/>
  <c r="T3" i="21"/>
  <c r="N40" i="29"/>
  <c r="O15" i="26"/>
  <c r="O19" i="26" s="1"/>
  <c r="N39" i="29"/>
  <c r="N33" i="29"/>
  <c r="N31" i="31"/>
  <c r="N35" i="31" s="1"/>
  <c r="AE3" i="29"/>
  <c r="AE5" i="29" s="1"/>
  <c r="N7" i="29"/>
  <c r="M17" i="29"/>
  <c r="N17" i="29" s="1"/>
  <c r="N24" i="29" s="1"/>
  <c r="N31" i="21"/>
  <c r="AD31" i="21" s="1"/>
  <c r="AD36" i="21" s="1"/>
  <c r="M17" i="28"/>
  <c r="N17" i="28" s="1"/>
  <c r="N22" i="28" s="1"/>
  <c r="L3" i="31"/>
  <c r="N3" i="31" s="1"/>
  <c r="N13" i="31" s="1"/>
  <c r="L17" i="31"/>
  <c r="N17" i="31" s="1"/>
  <c r="N6" i="29"/>
  <c r="N13" i="29"/>
  <c r="N12" i="29"/>
  <c r="N8" i="29"/>
  <c r="N5" i="29"/>
  <c r="N4" i="29"/>
  <c r="N9" i="29"/>
  <c r="N41" i="31"/>
  <c r="N3" i="28"/>
  <c r="N10" i="28" s="1"/>
  <c r="N10" i="29"/>
  <c r="N11" i="29"/>
  <c r="H18" i="25"/>
  <c r="F26" i="25"/>
  <c r="E21" i="25"/>
  <c r="E18" i="25"/>
  <c r="E19" i="25"/>
  <c r="E20" i="25"/>
  <c r="E22" i="25"/>
  <c r="G13" i="25"/>
  <c r="G7" i="25" s="1"/>
  <c r="M17" i="21"/>
  <c r="S17" i="21"/>
  <c r="L17" i="21"/>
  <c r="R17" i="21"/>
  <c r="E2" i="25"/>
  <c r="H2" i="25"/>
  <c r="D15" i="24" s="1"/>
  <c r="N3" i="21"/>
  <c r="AD3" i="21" s="1"/>
  <c r="AD18" i="21" s="1"/>
  <c r="W8" i="26" l="1"/>
  <c r="W7" i="26"/>
  <c r="W6" i="26"/>
  <c r="W5" i="26"/>
  <c r="N36" i="31"/>
  <c r="O16" i="26"/>
  <c r="W16" i="26" s="1"/>
  <c r="O17" i="26"/>
  <c r="W17" i="26" s="1"/>
  <c r="U31" i="29"/>
  <c r="AE31" i="28"/>
  <c r="AE34" i="28" s="1"/>
  <c r="AE32" i="29"/>
  <c r="AE34" i="29"/>
  <c r="AF31" i="29"/>
  <c r="N32" i="31"/>
  <c r="N27" i="29"/>
  <c r="AE19" i="29"/>
  <c r="N33" i="31"/>
  <c r="AE33" i="29"/>
  <c r="N8" i="31"/>
  <c r="N23" i="29"/>
  <c r="N22" i="29"/>
  <c r="U3" i="29"/>
  <c r="N19" i="29"/>
  <c r="N5" i="31"/>
  <c r="AD35" i="21"/>
  <c r="AE20" i="29"/>
  <c r="AD34" i="21"/>
  <c r="AE6" i="29"/>
  <c r="N33" i="28"/>
  <c r="O20" i="26"/>
  <c r="O18" i="26"/>
  <c r="W18" i="26" s="1"/>
  <c r="N5" i="28"/>
  <c r="N32" i="28"/>
  <c r="N20" i="28"/>
  <c r="N41" i="28"/>
  <c r="N40" i="28"/>
  <c r="N35" i="28"/>
  <c r="N34" i="28"/>
  <c r="N25" i="28"/>
  <c r="N19" i="28"/>
  <c r="AE17" i="28"/>
  <c r="AF17" i="28" s="1"/>
  <c r="N18" i="28"/>
  <c r="N27" i="28"/>
  <c r="N26" i="28"/>
  <c r="AD40" i="21"/>
  <c r="AD39" i="21"/>
  <c r="AD38" i="21"/>
  <c r="N34" i="31"/>
  <c r="N37" i="31"/>
  <c r="AE31" i="31"/>
  <c r="AE36" i="31" s="1"/>
  <c r="N38" i="31"/>
  <c r="N39" i="31"/>
  <c r="N40" i="31"/>
  <c r="U31" i="31" s="1"/>
  <c r="N4" i="28"/>
  <c r="AE21" i="29"/>
  <c r="N25" i="29"/>
  <c r="AE17" i="29"/>
  <c r="AF17" i="29" s="1"/>
  <c r="N13" i="28"/>
  <c r="N39" i="28"/>
  <c r="AE4" i="29"/>
  <c r="AD33" i="21"/>
  <c r="N8" i="28"/>
  <c r="N38" i="28"/>
  <c r="AD32" i="21"/>
  <c r="N7" i="28"/>
  <c r="N37" i="28"/>
  <c r="AF3" i="29"/>
  <c r="N20" i="29"/>
  <c r="AD41" i="21"/>
  <c r="N6" i="28"/>
  <c r="AE18" i="29"/>
  <c r="N26" i="29"/>
  <c r="AE7" i="29"/>
  <c r="N20" i="31"/>
  <c r="N21" i="31"/>
  <c r="N18" i="31"/>
  <c r="N27" i="31"/>
  <c r="N19" i="31"/>
  <c r="AE17" i="31"/>
  <c r="AF17" i="31" s="1"/>
  <c r="N26" i="31"/>
  <c r="N25" i="31"/>
  <c r="N24" i="31"/>
  <c r="N23" i="31"/>
  <c r="N22" i="31"/>
  <c r="N9" i="28"/>
  <c r="N21" i="28"/>
  <c r="N9" i="31"/>
  <c r="N11" i="31"/>
  <c r="N12" i="31"/>
  <c r="AE3" i="31"/>
  <c r="AE4" i="31" s="1"/>
  <c r="N12" i="28"/>
  <c r="N7" i="31"/>
  <c r="AD37" i="21"/>
  <c r="N23" i="28"/>
  <c r="N4" i="31"/>
  <c r="N10" i="31"/>
  <c r="AE33" i="28"/>
  <c r="AE3" i="28"/>
  <c r="AE4" i="28" s="1"/>
  <c r="N24" i="28"/>
  <c r="N11" i="28"/>
  <c r="N6" i="31"/>
  <c r="N18" i="29"/>
  <c r="N21" i="29"/>
  <c r="W3" i="26"/>
  <c r="G22" i="25"/>
  <c r="H22" i="25" s="1"/>
  <c r="G21" i="25"/>
  <c r="H21" i="25" s="1"/>
  <c r="G19" i="25"/>
  <c r="G20" i="25"/>
  <c r="H20" i="25" s="1"/>
  <c r="S4" i="26"/>
  <c r="S16" i="26"/>
  <c r="P6" i="26"/>
  <c r="Q6" i="26" s="1"/>
  <c r="P18" i="26"/>
  <c r="P5" i="26"/>
  <c r="Q5" i="26" s="1"/>
  <c r="P17" i="26"/>
  <c r="P8" i="26"/>
  <c r="Q8" i="26" s="1"/>
  <c r="P20" i="26"/>
  <c r="P16" i="26"/>
  <c r="P4" i="26"/>
  <c r="Y32" i="31"/>
  <c r="Y18" i="31"/>
  <c r="Y32" i="29"/>
  <c r="Y18" i="29"/>
  <c r="P7" i="26"/>
  <c r="Q7" i="26" s="1"/>
  <c r="P19" i="26"/>
  <c r="AE5" i="31"/>
  <c r="Y32" i="28"/>
  <c r="Y18" i="28"/>
  <c r="X32" i="21"/>
  <c r="X18" i="21"/>
  <c r="AD19" i="21"/>
  <c r="AD20" i="21"/>
  <c r="AD21" i="21"/>
  <c r="AD22" i="21"/>
  <c r="AD23" i="21"/>
  <c r="AD24" i="21"/>
  <c r="AD25" i="21"/>
  <c r="AD26" i="21"/>
  <c r="AD27" i="21"/>
  <c r="AD5" i="21"/>
  <c r="AD6" i="21"/>
  <c r="AD7" i="21"/>
  <c r="AD8" i="21"/>
  <c r="AD9" i="21"/>
  <c r="AD10" i="21"/>
  <c r="AD11" i="21"/>
  <c r="AD12" i="21"/>
  <c r="AD13" i="21"/>
  <c r="AD4" i="21"/>
  <c r="T17" i="21"/>
  <c r="N17" i="21"/>
  <c r="AD17" i="21" s="1"/>
  <c r="G3" i="25"/>
  <c r="E11" i="25"/>
  <c r="C24" i="24" s="1"/>
  <c r="E10" i="25"/>
  <c r="C23" i="24" s="1"/>
  <c r="E9" i="25"/>
  <c r="C22" i="24" s="1"/>
  <c r="E8" i="25"/>
  <c r="C21" i="24" s="1"/>
  <c r="E7" i="25"/>
  <c r="C20" i="24" s="1"/>
  <c r="E6" i="25"/>
  <c r="C19" i="24" s="1"/>
  <c r="E5" i="25"/>
  <c r="C18" i="24" s="1"/>
  <c r="E4" i="25"/>
  <c r="C17" i="24" s="1"/>
  <c r="E3" i="25"/>
  <c r="C16" i="24" s="1"/>
  <c r="C15" i="24"/>
  <c r="AE20" i="31" l="1"/>
  <c r="AE33" i="31"/>
  <c r="AE34" i="31"/>
  <c r="AE19" i="31"/>
  <c r="AE18" i="31"/>
  <c r="Q20" i="26"/>
  <c r="AF31" i="28"/>
  <c r="AE32" i="28"/>
  <c r="AE32" i="31"/>
  <c r="U3" i="31"/>
  <c r="AE8" i="31"/>
  <c r="C220" i="30"/>
  <c r="C228" i="30"/>
  <c r="D220" i="30"/>
  <c r="D228" i="30"/>
  <c r="F220" i="30"/>
  <c r="F228" i="30"/>
  <c r="E220" i="30"/>
  <c r="E228" i="30"/>
  <c r="AF3" i="31"/>
  <c r="U17" i="29"/>
  <c r="AA18" i="29" s="1"/>
  <c r="R18" i="26"/>
  <c r="Y18" i="26" s="1"/>
  <c r="R19" i="26"/>
  <c r="Y19" i="26" s="1"/>
  <c r="R20" i="26"/>
  <c r="X20" i="26" s="1"/>
  <c r="AC20" i="26" s="1"/>
  <c r="R16" i="26"/>
  <c r="X16" i="26" s="1"/>
  <c r="U16" i="26"/>
  <c r="AA16" i="26" s="1"/>
  <c r="O22" i="26"/>
  <c r="Q18" i="26" s="1"/>
  <c r="R17" i="26"/>
  <c r="Y17" i="26" s="1"/>
  <c r="W15" i="26"/>
  <c r="AE21" i="31"/>
  <c r="AF31" i="31"/>
  <c r="AE35" i="31"/>
  <c r="U3" i="28"/>
  <c r="U31" i="28"/>
  <c r="AA32" i="28" s="1"/>
  <c r="AE7" i="31"/>
  <c r="AE22" i="31"/>
  <c r="U17" i="31"/>
  <c r="AA18" i="31" s="1"/>
  <c r="U17" i="28"/>
  <c r="AA18" i="28" s="1"/>
  <c r="AF3" i="28"/>
  <c r="AE18" i="28"/>
  <c r="AE5" i="28"/>
  <c r="AE6" i="28"/>
  <c r="AE20" i="28"/>
  <c r="AE19" i="28"/>
  <c r="AE6" i="31"/>
  <c r="V7" i="29"/>
  <c r="W7" i="29" s="1"/>
  <c r="V35" i="29"/>
  <c r="V35" i="31"/>
  <c r="V7" i="31"/>
  <c r="V36" i="29"/>
  <c r="V8" i="29"/>
  <c r="W8" i="29" s="1"/>
  <c r="V8" i="31"/>
  <c r="V36" i="31"/>
  <c r="R8" i="26"/>
  <c r="S18" i="26"/>
  <c r="S6" i="26"/>
  <c r="T6" i="26" s="1"/>
  <c r="V9" i="31"/>
  <c r="V37" i="31"/>
  <c r="V9" i="29"/>
  <c r="W9" i="29" s="1"/>
  <c r="V37" i="29"/>
  <c r="Z32" i="29"/>
  <c r="AA32" i="29"/>
  <c r="H19" i="25"/>
  <c r="G24" i="25"/>
  <c r="G25" i="25" s="1"/>
  <c r="R5" i="26"/>
  <c r="R6" i="26"/>
  <c r="Y6" i="26" s="1"/>
  <c r="S19" i="26"/>
  <c r="S7" i="26"/>
  <c r="T7" i="26" s="1"/>
  <c r="V10" i="29"/>
  <c r="W10" i="29" s="1"/>
  <c r="V38" i="31"/>
  <c r="V38" i="29"/>
  <c r="V10" i="31"/>
  <c r="W10" i="31" s="1"/>
  <c r="V11" i="31"/>
  <c r="V11" i="29"/>
  <c r="W11" i="29" s="1"/>
  <c r="V39" i="31"/>
  <c r="V39" i="29"/>
  <c r="S20" i="26"/>
  <c r="S8" i="26"/>
  <c r="T8" i="26" s="1"/>
  <c r="V4" i="29"/>
  <c r="W4" i="29" s="1"/>
  <c r="V4" i="31"/>
  <c r="W4" i="31" s="1"/>
  <c r="V32" i="31"/>
  <c r="W32" i="31" s="1"/>
  <c r="V18" i="31" a="1"/>
  <c r="V32" i="29"/>
  <c r="V18" i="29" a="1"/>
  <c r="V40" i="29"/>
  <c r="V12" i="31"/>
  <c r="W12" i="31" s="1"/>
  <c r="V40" i="31"/>
  <c r="V12" i="29"/>
  <c r="W12" i="29" s="1"/>
  <c r="V33" i="31"/>
  <c r="V33" i="29"/>
  <c r="V5" i="31"/>
  <c r="V5" i="29"/>
  <c r="W5" i="29" s="1"/>
  <c r="V13" i="31"/>
  <c r="V41" i="29"/>
  <c r="V13" i="29"/>
  <c r="W13" i="29" s="1"/>
  <c r="V41" i="31"/>
  <c r="V34" i="29"/>
  <c r="V34" i="31"/>
  <c r="V6" i="29"/>
  <c r="W6" i="29" s="1"/>
  <c r="V6" i="31"/>
  <c r="W6" i="31" s="1"/>
  <c r="R7" i="26"/>
  <c r="Y7" i="26" s="1"/>
  <c r="AA32" i="31"/>
  <c r="Z32" i="31"/>
  <c r="H3" i="25"/>
  <c r="D16" i="24" s="1"/>
  <c r="X33" i="21" s="1"/>
  <c r="V32" i="28"/>
  <c r="V4" i="28"/>
  <c r="W4" i="28" s="1"/>
  <c r="V18" i="28" a="1"/>
  <c r="U32" i="21"/>
  <c r="U18" i="21" a="1"/>
  <c r="V33" i="28"/>
  <c r="V5" i="28"/>
  <c r="W5" i="28" s="1"/>
  <c r="U33" i="21"/>
  <c r="V34" i="28"/>
  <c r="V6" i="28"/>
  <c r="W6" i="28" s="1"/>
  <c r="U34" i="21"/>
  <c r="V35" i="28"/>
  <c r="V7" i="28"/>
  <c r="W7" i="28" s="1"/>
  <c r="U35" i="21"/>
  <c r="V36" i="28"/>
  <c r="V8" i="28"/>
  <c r="W8" i="28" s="1"/>
  <c r="U36" i="21"/>
  <c r="V37" i="28"/>
  <c r="V9" i="28"/>
  <c r="W9" i="28" s="1"/>
  <c r="U37" i="21"/>
  <c r="V38" i="28"/>
  <c r="V10" i="28"/>
  <c r="W10" i="28" s="1"/>
  <c r="U38" i="21"/>
  <c r="V39" i="28"/>
  <c r="V11" i="28"/>
  <c r="W11" i="28" s="1"/>
  <c r="U39" i="21"/>
  <c r="V40" i="28"/>
  <c r="V12" i="28"/>
  <c r="W12" i="28" s="1"/>
  <c r="U40" i="21"/>
  <c r="V41" i="28"/>
  <c r="V13" i="28"/>
  <c r="W13" i="28" s="1"/>
  <c r="U41" i="21"/>
  <c r="Z32" i="21"/>
  <c r="AH32" i="21" s="1"/>
  <c r="AM32" i="21" s="1"/>
  <c r="Y32" i="21"/>
  <c r="Y18" i="21"/>
  <c r="Z18" i="21"/>
  <c r="AH18" i="21" s="1"/>
  <c r="AM18" i="21" s="1"/>
  <c r="U4" i="21"/>
  <c r="V4" i="21" s="1"/>
  <c r="R4" i="26"/>
  <c r="U5" i="21"/>
  <c r="V5" i="21" s="1"/>
  <c r="U6" i="21"/>
  <c r="V6" i="21" s="1"/>
  <c r="U7" i="21"/>
  <c r="V7" i="21" s="1"/>
  <c r="U8" i="21"/>
  <c r="V8" i="21" s="1"/>
  <c r="U9" i="21"/>
  <c r="V9" i="21" s="1"/>
  <c r="U10" i="21"/>
  <c r="V10" i="21" s="1"/>
  <c r="U11" i="21"/>
  <c r="V11" i="21" s="1"/>
  <c r="U12" i="21"/>
  <c r="V12" i="21" s="1"/>
  <c r="U13" i="21"/>
  <c r="V13" i="21" s="1"/>
  <c r="G4" i="25"/>
  <c r="H4" i="25" s="1"/>
  <c r="D17" i="24" s="1"/>
  <c r="G11" i="25"/>
  <c r="H11" i="25" s="1"/>
  <c r="D24" i="24" s="1"/>
  <c r="G10" i="25"/>
  <c r="H10" i="25" s="1"/>
  <c r="D23" i="24" s="1"/>
  <c r="G9" i="25"/>
  <c r="H9" i="25" s="1"/>
  <c r="D22" i="24" s="1"/>
  <c r="G8" i="25"/>
  <c r="H8" i="25" s="1"/>
  <c r="D21" i="24" s="1"/>
  <c r="H7" i="25"/>
  <c r="D20" i="24" s="1"/>
  <c r="G6" i="25"/>
  <c r="H6" i="25" s="1"/>
  <c r="D19" i="24" s="1"/>
  <c r="G5" i="25"/>
  <c r="H5" i="25" s="1"/>
  <c r="D18" i="24" s="1"/>
  <c r="Z18" i="31" l="1"/>
  <c r="W5" i="31"/>
  <c r="U19" i="26"/>
  <c r="Z19" i="26" s="1"/>
  <c r="T19" i="26"/>
  <c r="C229" i="30"/>
  <c r="V18" i="31"/>
  <c r="X18" i="31" s="1"/>
  <c r="AF18" i="31" s="1"/>
  <c r="AI18" i="31" s="1"/>
  <c r="AO18" i="31" s="1"/>
  <c r="W19" i="31"/>
  <c r="Y33" i="28"/>
  <c r="W11" i="31"/>
  <c r="W9" i="31"/>
  <c r="W7" i="31"/>
  <c r="U18" i="26"/>
  <c r="AA18" i="26" s="1"/>
  <c r="T18" i="26"/>
  <c r="V21" i="21"/>
  <c r="V19" i="21"/>
  <c r="W13" i="31"/>
  <c r="U20" i="26"/>
  <c r="Z20" i="26" s="1"/>
  <c r="AE20" i="26" s="1"/>
  <c r="AS20" i="26" s="1"/>
  <c r="T20" i="26"/>
  <c r="Q19" i="26"/>
  <c r="Z18" i="29"/>
  <c r="W8" i="31"/>
  <c r="W18" i="31"/>
  <c r="X6" i="26"/>
  <c r="X18" i="26"/>
  <c r="X19" i="26"/>
  <c r="AB19" i="26" s="1"/>
  <c r="AG19" i="26" s="1"/>
  <c r="D222" i="30"/>
  <c r="D230" i="30"/>
  <c r="F222" i="30"/>
  <c r="F230" i="30"/>
  <c r="E222" i="30"/>
  <c r="E230" i="30"/>
  <c r="Y20" i="26"/>
  <c r="Y16" i="26"/>
  <c r="Z32" i="28"/>
  <c r="R15" i="26"/>
  <c r="Y15" i="26" s="1"/>
  <c r="Z16" i="26"/>
  <c r="AE16" i="26" s="1"/>
  <c r="X17" i="26"/>
  <c r="AC17" i="26" s="1"/>
  <c r="X7" i="26"/>
  <c r="AB7" i="26" s="1"/>
  <c r="Z18" i="28"/>
  <c r="W21" i="31"/>
  <c r="X24" i="31"/>
  <c r="AF24" i="31" s="1"/>
  <c r="AI24" i="31" s="1"/>
  <c r="AO24" i="31" s="1"/>
  <c r="AX24" i="31" s="1"/>
  <c r="Y19" i="28"/>
  <c r="Z19" i="28" s="1"/>
  <c r="X23" i="31"/>
  <c r="AF23" i="31" s="1"/>
  <c r="AI23" i="31" s="1"/>
  <c r="AO23" i="31" s="1"/>
  <c r="AX23" i="31" s="1"/>
  <c r="AB20" i="26"/>
  <c r="AG20" i="26" s="1"/>
  <c r="X25" i="31"/>
  <c r="AF25" i="31" s="1"/>
  <c r="AI25" i="31" s="1"/>
  <c r="AO25" i="31" s="1"/>
  <c r="AX25" i="31" s="1"/>
  <c r="W27" i="31"/>
  <c r="W26" i="31"/>
  <c r="W20" i="31"/>
  <c r="X21" i="31"/>
  <c r="AF21" i="31" s="1"/>
  <c r="AI21" i="31" s="1"/>
  <c r="AM21" i="31" s="1"/>
  <c r="W24" i="31"/>
  <c r="X19" i="21"/>
  <c r="Y19" i="21" s="1"/>
  <c r="W8" i="21"/>
  <c r="AF8" i="21" s="1"/>
  <c r="AK8" i="21" s="1"/>
  <c r="CD8" i="21" s="1"/>
  <c r="BQ8" i="21" s="1"/>
  <c r="AE19" i="26"/>
  <c r="AS19" i="26" s="1"/>
  <c r="AD19" i="26"/>
  <c r="AK19" i="26" s="1"/>
  <c r="X13" i="31"/>
  <c r="AF13" i="31" s="1"/>
  <c r="X40" i="29"/>
  <c r="AF40" i="29" s="1"/>
  <c r="AI40" i="29" s="1"/>
  <c r="W40" i="29"/>
  <c r="X10" i="29"/>
  <c r="AF10" i="29" s="1"/>
  <c r="S17" i="26"/>
  <c r="T17" i="26" s="1"/>
  <c r="S5" i="26"/>
  <c r="T5" i="26" s="1"/>
  <c r="W36" i="31"/>
  <c r="X36" i="31"/>
  <c r="AF36" i="31" s="1"/>
  <c r="AI36" i="31" s="1"/>
  <c r="Y25" i="31"/>
  <c r="Y39" i="31"/>
  <c r="Y39" i="29"/>
  <c r="Y25" i="29"/>
  <c r="Y40" i="29"/>
  <c r="Y26" i="29"/>
  <c r="Y26" i="31"/>
  <c r="Y40" i="31"/>
  <c r="X6" i="31"/>
  <c r="AF6" i="31" s="1"/>
  <c r="AJ6" i="31" s="1"/>
  <c r="X5" i="29"/>
  <c r="AF5" i="29" s="1"/>
  <c r="V18" i="29"/>
  <c r="W18" i="29" s="1"/>
  <c r="W25" i="29"/>
  <c r="W23" i="29"/>
  <c r="W20" i="29"/>
  <c r="W19" i="29"/>
  <c r="W24" i="29"/>
  <c r="W26" i="29"/>
  <c r="W27" i="29"/>
  <c r="W22" i="29"/>
  <c r="W21" i="29"/>
  <c r="X24" i="29"/>
  <c r="AF24" i="29" s="1"/>
  <c r="AI24" i="29" s="1"/>
  <c r="X23" i="29"/>
  <c r="AF23" i="29" s="1"/>
  <c r="AI23" i="29" s="1"/>
  <c r="X26" i="29"/>
  <c r="AF26" i="29" s="1"/>
  <c r="AI26" i="29" s="1"/>
  <c r="X19" i="29"/>
  <c r="AF19" i="29" s="1"/>
  <c r="AI19" i="29" s="1"/>
  <c r="X20" i="29"/>
  <c r="AF20" i="29" s="1"/>
  <c r="AI20" i="29" s="1"/>
  <c r="X27" i="29"/>
  <c r="AF27" i="29" s="1"/>
  <c r="AI27" i="29" s="1"/>
  <c r="X21" i="29"/>
  <c r="AF21" i="29" s="1"/>
  <c r="AI21" i="29" s="1"/>
  <c r="X22" i="29"/>
  <c r="AF22" i="29" s="1"/>
  <c r="AI22" i="29" s="1"/>
  <c r="X25" i="29"/>
  <c r="AF25" i="29" s="1"/>
  <c r="AI25" i="29" s="1"/>
  <c r="X39" i="29"/>
  <c r="AF39" i="29" s="1"/>
  <c r="AI39" i="29" s="1"/>
  <c r="W39" i="29"/>
  <c r="U7" i="26"/>
  <c r="AA7" i="26" s="1"/>
  <c r="AG32" i="29"/>
  <c r="AK32" i="29" s="1"/>
  <c r="Y8" i="26"/>
  <c r="X8" i="26"/>
  <c r="X8" i="31"/>
  <c r="AF8" i="31" s="1"/>
  <c r="Y23" i="31"/>
  <c r="Y23" i="29"/>
  <c r="Y37" i="31"/>
  <c r="Y37" i="29"/>
  <c r="W39" i="31"/>
  <c r="X39" i="31"/>
  <c r="AF39" i="31" s="1"/>
  <c r="AI39" i="31" s="1"/>
  <c r="X8" i="29"/>
  <c r="AF8" i="29" s="1"/>
  <c r="Y38" i="31"/>
  <c r="Y38" i="29"/>
  <c r="Y24" i="29"/>
  <c r="Y24" i="31"/>
  <c r="Y27" i="29"/>
  <c r="Y41" i="29"/>
  <c r="Y41" i="31"/>
  <c r="Y27" i="31"/>
  <c r="AD20" i="26"/>
  <c r="AK20" i="26" s="1"/>
  <c r="X6" i="29"/>
  <c r="AF6" i="29" s="1"/>
  <c r="X5" i="31"/>
  <c r="AF5" i="31" s="1"/>
  <c r="AI5" i="31" s="1"/>
  <c r="X32" i="29"/>
  <c r="AF32" i="29" s="1"/>
  <c r="AI32" i="29" s="1"/>
  <c r="W32" i="29"/>
  <c r="Y20" i="29"/>
  <c r="Y34" i="31"/>
  <c r="Y20" i="31"/>
  <c r="Y34" i="29"/>
  <c r="AA19" i="26"/>
  <c r="X34" i="31"/>
  <c r="AF34" i="31" s="1"/>
  <c r="AI34" i="31" s="1"/>
  <c r="W34" i="31"/>
  <c r="X33" i="29"/>
  <c r="AF33" i="29" s="1"/>
  <c r="AI33" i="29" s="1"/>
  <c r="W33" i="29"/>
  <c r="X11" i="29"/>
  <c r="AF11" i="29" s="1"/>
  <c r="X37" i="29"/>
  <c r="AF37" i="29" s="1"/>
  <c r="AI37" i="29" s="1"/>
  <c r="W37" i="29"/>
  <c r="X36" i="29"/>
  <c r="AF36" i="29" s="1"/>
  <c r="AI36" i="29" s="1"/>
  <c r="W36" i="29"/>
  <c r="X19" i="31"/>
  <c r="AF19" i="31" s="1"/>
  <c r="AI19" i="31" s="1"/>
  <c r="AM19" i="31" s="1"/>
  <c r="W34" i="29"/>
  <c r="X34" i="29"/>
  <c r="AF34" i="29" s="1"/>
  <c r="AI34" i="29" s="1"/>
  <c r="W33" i="31"/>
  <c r="X33" i="31"/>
  <c r="AF33" i="31" s="1"/>
  <c r="AI33" i="31" s="1"/>
  <c r="X32" i="31"/>
  <c r="AF32" i="31" s="1"/>
  <c r="AI32" i="31" s="1"/>
  <c r="X11" i="31"/>
  <c r="AF11" i="31" s="1"/>
  <c r="X9" i="29"/>
  <c r="AF9" i="29" s="1"/>
  <c r="AG18" i="29"/>
  <c r="AK18" i="29" s="1"/>
  <c r="X7" i="31"/>
  <c r="AF7" i="31" s="1"/>
  <c r="AI7" i="31" s="1"/>
  <c r="Y35" i="29"/>
  <c r="Y35" i="31"/>
  <c r="Y21" i="31"/>
  <c r="Y21" i="29"/>
  <c r="W4" i="21"/>
  <c r="AF4" i="21" s="1"/>
  <c r="AK4" i="21" s="1"/>
  <c r="CB4" i="21" s="1"/>
  <c r="Y36" i="29"/>
  <c r="Y22" i="29"/>
  <c r="Y22" i="31"/>
  <c r="Y36" i="31"/>
  <c r="W25" i="31"/>
  <c r="W22" i="31"/>
  <c r="X20" i="31"/>
  <c r="AF20" i="31" s="1"/>
  <c r="AI20" i="31" s="1"/>
  <c r="AO20" i="31" s="1"/>
  <c r="AX20" i="31" s="1"/>
  <c r="X22" i="31"/>
  <c r="AF22" i="31" s="1"/>
  <c r="AI22" i="31" s="1"/>
  <c r="AM22" i="31" s="1"/>
  <c r="AG32" i="31"/>
  <c r="AK32" i="31" s="1"/>
  <c r="W41" i="31"/>
  <c r="X41" i="31"/>
  <c r="AF41" i="31" s="1"/>
  <c r="AI41" i="31" s="1"/>
  <c r="X12" i="29"/>
  <c r="AF12" i="29" s="1"/>
  <c r="X4" i="31"/>
  <c r="AF4" i="31" s="1"/>
  <c r="AI4" i="31" s="1"/>
  <c r="X10" i="31"/>
  <c r="AF10" i="31" s="1"/>
  <c r="X5" i="26"/>
  <c r="Y5" i="26"/>
  <c r="X37" i="31"/>
  <c r="AF37" i="31" s="1"/>
  <c r="AI37" i="31" s="1"/>
  <c r="W37" i="31"/>
  <c r="X35" i="31"/>
  <c r="AF35" i="31" s="1"/>
  <c r="AI35" i="31" s="1"/>
  <c r="W35" i="31"/>
  <c r="X13" i="29"/>
  <c r="AF13" i="29" s="1"/>
  <c r="X40" i="31"/>
  <c r="AF40" i="31" s="1"/>
  <c r="AI40" i="31" s="1"/>
  <c r="W40" i="31"/>
  <c r="X4" i="29"/>
  <c r="AF4" i="29" s="1"/>
  <c r="X38" i="29"/>
  <c r="AF38" i="29" s="1"/>
  <c r="AI38" i="29" s="1"/>
  <c r="W38" i="29"/>
  <c r="X9" i="31"/>
  <c r="AF9" i="31" s="1"/>
  <c r="X35" i="29"/>
  <c r="AF35" i="29" s="1"/>
  <c r="AI35" i="29" s="1"/>
  <c r="W35" i="29"/>
  <c r="Y19" i="31"/>
  <c r="Y19" i="29"/>
  <c r="Y33" i="29"/>
  <c r="Y33" i="31"/>
  <c r="Y4" i="29" a="1"/>
  <c r="Y4" i="31" a="1"/>
  <c r="W23" i="31"/>
  <c r="X27" i="31"/>
  <c r="AF27" i="31" s="1"/>
  <c r="AI27" i="31" s="1"/>
  <c r="AO27" i="31" s="1"/>
  <c r="AX27" i="31" s="1"/>
  <c r="X26" i="31"/>
  <c r="AF26" i="31" s="1"/>
  <c r="AI26" i="31" s="1"/>
  <c r="AM26" i="31" s="1"/>
  <c r="X41" i="29"/>
  <c r="AF41" i="29" s="1"/>
  <c r="AI41" i="29" s="1"/>
  <c r="W41" i="29"/>
  <c r="X12" i="31"/>
  <c r="AF12" i="31" s="1"/>
  <c r="U8" i="26"/>
  <c r="AA8" i="26" s="1"/>
  <c r="X38" i="31"/>
  <c r="AF38" i="31" s="1"/>
  <c r="AI38" i="31" s="1"/>
  <c r="W38" i="31"/>
  <c r="U6" i="26"/>
  <c r="AA6" i="26" s="1"/>
  <c r="X7" i="29"/>
  <c r="AF7" i="29" s="1"/>
  <c r="W13" i="21"/>
  <c r="AF13" i="21" s="1"/>
  <c r="AK13" i="21" s="1"/>
  <c r="CB13" i="21" s="1"/>
  <c r="W7" i="21"/>
  <c r="AF7" i="21" s="1"/>
  <c r="AK7" i="21" s="1"/>
  <c r="CB7" i="21" s="1"/>
  <c r="W6" i="21"/>
  <c r="AF6" i="21" s="1"/>
  <c r="AK6" i="21" s="1"/>
  <c r="CD6" i="21" s="1"/>
  <c r="BQ6" i="21" s="1"/>
  <c r="V27" i="21"/>
  <c r="W22" i="21"/>
  <c r="W24" i="21"/>
  <c r="V20" i="21"/>
  <c r="W12" i="21"/>
  <c r="AF12" i="21" s="1"/>
  <c r="AK12" i="21" s="1"/>
  <c r="CB12" i="21" s="1"/>
  <c r="V24" i="21"/>
  <c r="W11" i="21"/>
  <c r="AF11" i="21" s="1"/>
  <c r="AK11" i="21" s="1"/>
  <c r="CB11" i="21" s="1"/>
  <c r="W27" i="21"/>
  <c r="V23" i="21"/>
  <c r="W23" i="21"/>
  <c r="V26" i="21"/>
  <c r="V25" i="21"/>
  <c r="W10" i="21"/>
  <c r="AF10" i="21" s="1"/>
  <c r="AK10" i="21" s="1"/>
  <c r="CD10" i="21" s="1"/>
  <c r="BQ10" i="21" s="1"/>
  <c r="W26" i="21"/>
  <c r="Z19" i="21"/>
  <c r="V22" i="21"/>
  <c r="W5" i="21"/>
  <c r="AF5" i="21" s="1"/>
  <c r="AK5" i="21" s="1"/>
  <c r="W20" i="21"/>
  <c r="W19" i="21"/>
  <c r="W9" i="21"/>
  <c r="AF9" i="21" s="1"/>
  <c r="AK9" i="21" s="1"/>
  <c r="CD9" i="21" s="1"/>
  <c r="BQ9" i="21" s="1"/>
  <c r="W25" i="21"/>
  <c r="AG18" i="31"/>
  <c r="AK18" i="31" s="1"/>
  <c r="AM24" i="31"/>
  <c r="AM23" i="31"/>
  <c r="X4" i="26"/>
  <c r="AB4" i="26" s="1"/>
  <c r="Y4" i="26"/>
  <c r="R3" i="26"/>
  <c r="G15" i="25"/>
  <c r="G16" i="25" s="1"/>
  <c r="CG18" i="21"/>
  <c r="BY18" i="21" s="1"/>
  <c r="CE18" i="21"/>
  <c r="BU18" i="21" s="1"/>
  <c r="CG32" i="21"/>
  <c r="BY32" i="21" s="1"/>
  <c r="CE32" i="21"/>
  <c r="BU32" i="21" s="1"/>
  <c r="Y34" i="28"/>
  <c r="Y20" i="28"/>
  <c r="X34" i="21"/>
  <c r="X20" i="21"/>
  <c r="Y4" i="28" a="1"/>
  <c r="X4" i="21" a="1"/>
  <c r="Y35" i="28"/>
  <c r="Y21" i="28"/>
  <c r="X35" i="21"/>
  <c r="X21" i="21"/>
  <c r="Y36" i="28"/>
  <c r="Y22" i="28"/>
  <c r="X36" i="21"/>
  <c r="X22" i="21"/>
  <c r="Y37" i="28"/>
  <c r="Y23" i="28"/>
  <c r="X37" i="21"/>
  <c r="X23" i="21"/>
  <c r="Y38" i="28"/>
  <c r="Y24" i="28"/>
  <c r="X38" i="21"/>
  <c r="X24" i="21"/>
  <c r="Y39" i="28"/>
  <c r="Y25" i="28"/>
  <c r="X39" i="21"/>
  <c r="X25" i="21"/>
  <c r="Y40" i="28"/>
  <c r="Y26" i="28"/>
  <c r="X40" i="21"/>
  <c r="X26" i="21"/>
  <c r="Y41" i="28"/>
  <c r="Y27" i="28"/>
  <c r="X41" i="21"/>
  <c r="X27" i="21"/>
  <c r="AG32" i="28"/>
  <c r="AJ32" i="28" s="1"/>
  <c r="AQ32" i="28" s="1"/>
  <c r="AG18" i="28"/>
  <c r="AJ18" i="28" s="1"/>
  <c r="AQ18" i="28" s="1"/>
  <c r="AG32" i="21"/>
  <c r="AL32" i="21" s="1"/>
  <c r="AT32" i="21" s="1"/>
  <c r="Z33" i="21"/>
  <c r="AH33" i="21" s="1"/>
  <c r="AM33" i="21" s="1"/>
  <c r="Y33" i="21"/>
  <c r="AA33" i="28"/>
  <c r="Z33" i="28"/>
  <c r="W41" i="21"/>
  <c r="V41" i="21"/>
  <c r="X13" i="28"/>
  <c r="AF13" i="28" s="1"/>
  <c r="B53" i="30"/>
  <c r="X41" i="28"/>
  <c r="AF41" i="28" s="1"/>
  <c r="AI41" i="28" s="1"/>
  <c r="AM41" i="28" s="1"/>
  <c r="W41" i="28"/>
  <c r="W40" i="21"/>
  <c r="V40" i="21"/>
  <c r="X12" i="28"/>
  <c r="AF12" i="28" s="1"/>
  <c r="B52" i="30"/>
  <c r="X40" i="28"/>
  <c r="AF40" i="28" s="1"/>
  <c r="AI40" i="28" s="1"/>
  <c r="AM40" i="28" s="1"/>
  <c r="W40" i="28"/>
  <c r="W39" i="21"/>
  <c r="V39" i="21"/>
  <c r="X11" i="28"/>
  <c r="AF11" i="28" s="1"/>
  <c r="B51" i="30"/>
  <c r="X39" i="28"/>
  <c r="AF39" i="28" s="1"/>
  <c r="AI39" i="28" s="1"/>
  <c r="AM39" i="28" s="1"/>
  <c r="W39" i="28"/>
  <c r="W38" i="21"/>
  <c r="V38" i="21"/>
  <c r="X10" i="28"/>
  <c r="AF10" i="28" s="1"/>
  <c r="B50" i="30"/>
  <c r="X38" i="28"/>
  <c r="AF38" i="28" s="1"/>
  <c r="AI38" i="28" s="1"/>
  <c r="AM38" i="28" s="1"/>
  <c r="W38" i="28"/>
  <c r="W37" i="21"/>
  <c r="V37" i="21"/>
  <c r="X9" i="28"/>
  <c r="AF9" i="28" s="1"/>
  <c r="B49" i="30"/>
  <c r="X37" i="28"/>
  <c r="AF37" i="28" s="1"/>
  <c r="AI37" i="28" s="1"/>
  <c r="AM37" i="28" s="1"/>
  <c r="W37" i="28"/>
  <c r="W36" i="21"/>
  <c r="V36" i="21"/>
  <c r="X8" i="28"/>
  <c r="AF8" i="28" s="1"/>
  <c r="B48" i="30"/>
  <c r="X36" i="28"/>
  <c r="AF36" i="28" s="1"/>
  <c r="AI36" i="28" s="1"/>
  <c r="AM36" i="28" s="1"/>
  <c r="W36" i="28"/>
  <c r="W35" i="21"/>
  <c r="V35" i="21"/>
  <c r="X7" i="28"/>
  <c r="AF7" i="28" s="1"/>
  <c r="B47" i="30"/>
  <c r="X35" i="28"/>
  <c r="AF35" i="28" s="1"/>
  <c r="AI35" i="28" s="1"/>
  <c r="AM35" i="28" s="1"/>
  <c r="W35" i="28"/>
  <c r="W34" i="21"/>
  <c r="V34" i="21"/>
  <c r="X6" i="28"/>
  <c r="AF6" i="28" s="1"/>
  <c r="B46" i="30"/>
  <c r="X34" i="28"/>
  <c r="AF34" i="28" s="1"/>
  <c r="AI34" i="28" s="1"/>
  <c r="AM34" i="28" s="1"/>
  <c r="W34" i="28"/>
  <c r="W33" i="21"/>
  <c r="V33" i="21"/>
  <c r="X5" i="28"/>
  <c r="AF5" i="28" s="1"/>
  <c r="B45" i="30"/>
  <c r="X33" i="28"/>
  <c r="AF33" i="28" s="1"/>
  <c r="AI33" i="28" s="1"/>
  <c r="AM33" i="28" s="1"/>
  <c r="W33" i="28"/>
  <c r="W21" i="21"/>
  <c r="U18" i="21"/>
  <c r="V32" i="21"/>
  <c r="W32" i="21"/>
  <c r="AF32" i="21" s="1"/>
  <c r="AK32" i="21" s="1"/>
  <c r="X19" i="28"/>
  <c r="AF19" i="28" s="1"/>
  <c r="AI19" i="28" s="1"/>
  <c r="AM19" i="28" s="1"/>
  <c r="X20" i="28"/>
  <c r="AF20" i="28" s="1"/>
  <c r="AI20" i="28" s="1"/>
  <c r="AM20" i="28" s="1"/>
  <c r="X21" i="28"/>
  <c r="AF21" i="28" s="1"/>
  <c r="AI21" i="28" s="1"/>
  <c r="AM21" i="28" s="1"/>
  <c r="X22" i="28"/>
  <c r="AF22" i="28" s="1"/>
  <c r="AI22" i="28" s="1"/>
  <c r="AM22" i="28" s="1"/>
  <c r="X23" i="28"/>
  <c r="AF23" i="28" s="1"/>
  <c r="AI23" i="28" s="1"/>
  <c r="AM23" i="28" s="1"/>
  <c r="X24" i="28"/>
  <c r="AF24" i="28" s="1"/>
  <c r="AI24" i="28" s="1"/>
  <c r="AM24" i="28" s="1"/>
  <c r="X25" i="28"/>
  <c r="AF25" i="28" s="1"/>
  <c r="AI25" i="28" s="1"/>
  <c r="AM25" i="28" s="1"/>
  <c r="X26" i="28"/>
  <c r="AF26" i="28" s="1"/>
  <c r="AI26" i="28" s="1"/>
  <c r="AM26" i="28" s="1"/>
  <c r="X27" i="28"/>
  <c r="AF27" i="28" s="1"/>
  <c r="AI27" i="28" s="1"/>
  <c r="AM27" i="28" s="1"/>
  <c r="W19" i="28"/>
  <c r="W20" i="28"/>
  <c r="W21" i="28"/>
  <c r="W22" i="28"/>
  <c r="W23" i="28"/>
  <c r="W24" i="28"/>
  <c r="W25" i="28"/>
  <c r="W26" i="28"/>
  <c r="W27" i="28"/>
  <c r="V18" i="28"/>
  <c r="W18" i="28" s="1"/>
  <c r="X4" i="28"/>
  <c r="AF4" i="28" s="1"/>
  <c r="AI4" i="28" s="1"/>
  <c r="B44" i="30"/>
  <c r="X32" i="28"/>
  <c r="AF32" i="28" s="1"/>
  <c r="AI32" i="28" s="1"/>
  <c r="AM32" i="28" s="1"/>
  <c r="W32" i="28"/>
  <c r="AB6" i="26"/>
  <c r="AC6" i="26"/>
  <c r="AC16" i="26"/>
  <c r="AO16" i="26" s="1"/>
  <c r="AB16" i="26"/>
  <c r="AO20" i="26"/>
  <c r="Z18" i="26" l="1"/>
  <c r="AM25" i="31"/>
  <c r="C221" i="30"/>
  <c r="Z5" i="28"/>
  <c r="Z13" i="28"/>
  <c r="Z6" i="28"/>
  <c r="Z7" i="28"/>
  <c r="Z9" i="28"/>
  <c r="Z8" i="28"/>
  <c r="Z10" i="28"/>
  <c r="Z12" i="28"/>
  <c r="Z11" i="28"/>
  <c r="AO17" i="26"/>
  <c r="AI7" i="28"/>
  <c r="Z10" i="31"/>
  <c r="Z11" i="31"/>
  <c r="Z13" i="31"/>
  <c r="Z5" i="31"/>
  <c r="Z6" i="31"/>
  <c r="Z7" i="31"/>
  <c r="Z9" i="31"/>
  <c r="Z8" i="31"/>
  <c r="Z12" i="31"/>
  <c r="Z12" i="29"/>
  <c r="Z5" i="29"/>
  <c r="Z13" i="29"/>
  <c r="Z6" i="29"/>
  <c r="Z8" i="29"/>
  <c r="Z7" i="29"/>
  <c r="Z9" i="29"/>
  <c r="Z11" i="29"/>
  <c r="Z10" i="29"/>
  <c r="Y6" i="21"/>
  <c r="Y7" i="21"/>
  <c r="Y8" i="21"/>
  <c r="Y10" i="21"/>
  <c r="Y9" i="21"/>
  <c r="Y11" i="21"/>
  <c r="Y12" i="21"/>
  <c r="Y13" i="21"/>
  <c r="Y5" i="21"/>
  <c r="AA20" i="26"/>
  <c r="AO26" i="31"/>
  <c r="AX26" i="31" s="1"/>
  <c r="AM18" i="31"/>
  <c r="AM20" i="31"/>
  <c r="CB8" i="21"/>
  <c r="AE8" i="21"/>
  <c r="AJ8" i="21" s="1"/>
  <c r="AP8" i="21" s="1"/>
  <c r="AO21" i="31"/>
  <c r="AX21" i="31" s="1"/>
  <c r="AI6" i="31"/>
  <c r="AO6" i="31" s="1"/>
  <c r="AX6" i="31" s="1"/>
  <c r="AC7" i="26"/>
  <c r="AO7" i="26" s="1"/>
  <c r="AC19" i="26"/>
  <c r="AO19" i="26" s="1"/>
  <c r="AB18" i="26"/>
  <c r="AG18" i="26" s="1"/>
  <c r="AC18" i="26"/>
  <c r="AO18" i="26" s="1"/>
  <c r="AD16" i="26"/>
  <c r="AK16" i="26" s="1"/>
  <c r="X15" i="26"/>
  <c r="F221" i="30"/>
  <c r="F229" i="30"/>
  <c r="F223" i="30"/>
  <c r="F231" i="30"/>
  <c r="E221" i="30"/>
  <c r="E229" i="30"/>
  <c r="E223" i="30"/>
  <c r="E231" i="30"/>
  <c r="D221" i="30"/>
  <c r="D229" i="30"/>
  <c r="D223" i="30"/>
  <c r="D231" i="30"/>
  <c r="C222" i="30"/>
  <c r="C230" i="30"/>
  <c r="AE11" i="21"/>
  <c r="AJ11" i="21" s="1"/>
  <c r="AP11" i="21" s="1"/>
  <c r="AB17" i="26"/>
  <c r="AI15" i="26" s="1"/>
  <c r="AE4" i="21"/>
  <c r="AJ4" i="21" s="1"/>
  <c r="A201" i="30" s="1"/>
  <c r="CD4" i="21"/>
  <c r="BQ4" i="21" s="1"/>
  <c r="AJ5" i="31"/>
  <c r="AC4" i="26"/>
  <c r="AO4" i="26" s="1"/>
  <c r="AJ4" i="31"/>
  <c r="AN4" i="21"/>
  <c r="AW4" i="21" s="1"/>
  <c r="A208" i="30"/>
  <c r="AM4" i="28"/>
  <c r="BI4" i="28" s="1"/>
  <c r="AK4" i="28"/>
  <c r="AA19" i="28"/>
  <c r="AO22" i="31"/>
  <c r="AX22" i="31" s="1"/>
  <c r="CD7" i="21"/>
  <c r="BQ7" i="21" s="1"/>
  <c r="AE5" i="21"/>
  <c r="AJ5" i="21" s="1"/>
  <c r="A167" i="30" s="1"/>
  <c r="AO19" i="31"/>
  <c r="AI8" i="29"/>
  <c r="AJ8" i="29"/>
  <c r="AJ8" i="31"/>
  <c r="AI8" i="31"/>
  <c r="AO26" i="29"/>
  <c r="AX26" i="29" s="1"/>
  <c r="AM26" i="29"/>
  <c r="AA25" i="31"/>
  <c r="AG25" i="31" s="1"/>
  <c r="AK25" i="31" s="1"/>
  <c r="Z25" i="31"/>
  <c r="AI10" i="29"/>
  <c r="AJ10" i="29"/>
  <c r="AM38" i="31"/>
  <c r="AO38" i="31"/>
  <c r="AX38" i="31" s="1"/>
  <c r="AM41" i="31"/>
  <c r="AN41" i="31" s="1"/>
  <c r="AO41" i="31"/>
  <c r="AX41" i="31" s="1"/>
  <c r="Z36" i="31"/>
  <c r="AA36" i="31"/>
  <c r="AG36" i="31" s="1"/>
  <c r="AK36" i="31" s="1"/>
  <c r="AA35" i="31"/>
  <c r="AG35" i="31" s="1"/>
  <c r="AK35" i="31" s="1"/>
  <c r="Z35" i="31"/>
  <c r="Z20" i="29"/>
  <c r="AA20" i="29"/>
  <c r="AG20" i="29" s="1"/>
  <c r="AK20" i="29" s="1"/>
  <c r="AA27" i="31"/>
  <c r="AG27" i="31" s="1"/>
  <c r="AK27" i="31" s="1"/>
  <c r="Z27" i="31"/>
  <c r="AE13" i="21"/>
  <c r="AJ13" i="21" s="1"/>
  <c r="AQ13" i="21" s="1"/>
  <c r="B175" i="30" s="1"/>
  <c r="AO35" i="29"/>
  <c r="AX35" i="29" s="1"/>
  <c r="AM35" i="29"/>
  <c r="AO40" i="31"/>
  <c r="AX40" i="31" s="1"/>
  <c r="AM40" i="31"/>
  <c r="AC5" i="26"/>
  <c r="AB5" i="26"/>
  <c r="Z22" i="31"/>
  <c r="AA22" i="31"/>
  <c r="AG22" i="31" s="1"/>
  <c r="AK22" i="31" s="1"/>
  <c r="AA35" i="29"/>
  <c r="AG35" i="29" s="1"/>
  <c r="AK35" i="29" s="1"/>
  <c r="Z35" i="29"/>
  <c r="AJ11" i="31"/>
  <c r="AI11" i="31"/>
  <c r="AM33" i="29"/>
  <c r="AO33" i="29"/>
  <c r="AA41" i="31"/>
  <c r="AG41" i="31" s="1"/>
  <c r="AK41" i="31" s="1"/>
  <c r="Z41" i="31"/>
  <c r="AO39" i="29"/>
  <c r="AX39" i="29" s="1"/>
  <c r="AM39" i="29"/>
  <c r="AO23" i="29"/>
  <c r="AX23" i="29" s="1"/>
  <c r="AM23" i="29"/>
  <c r="AA40" i="31"/>
  <c r="AG40" i="31" s="1"/>
  <c r="AK40" i="31" s="1"/>
  <c r="Z40" i="31"/>
  <c r="AM36" i="31"/>
  <c r="AN36" i="31" s="1"/>
  <c r="AO36" i="31"/>
  <c r="AX36" i="31" s="1"/>
  <c r="Y4" i="31"/>
  <c r="Z4" i="31" s="1"/>
  <c r="AA9" i="31"/>
  <c r="AG9" i="31" s="1"/>
  <c r="AA11" i="31"/>
  <c r="AG11" i="31" s="1"/>
  <c r="AA13" i="31"/>
  <c r="AG13" i="31" s="1"/>
  <c r="AA10" i="31"/>
  <c r="AG10" i="31" s="1"/>
  <c r="AA8" i="31"/>
  <c r="AG8" i="31" s="1"/>
  <c r="AA7" i="31"/>
  <c r="AG7" i="31" s="1"/>
  <c r="AA6" i="31"/>
  <c r="AG6" i="31" s="1"/>
  <c r="AA5" i="31"/>
  <c r="AG5" i="31" s="1"/>
  <c r="AA12" i="31"/>
  <c r="AG12" i="31" s="1"/>
  <c r="AJ9" i="31"/>
  <c r="AI9" i="31"/>
  <c r="AI13" i="29"/>
  <c r="AJ13" i="29"/>
  <c r="AJ10" i="31"/>
  <c r="AI10" i="31"/>
  <c r="AR32" i="31"/>
  <c r="AP32" i="31"/>
  <c r="Z22" i="29"/>
  <c r="AA22" i="29"/>
  <c r="AG22" i="29" s="1"/>
  <c r="AK22" i="29" s="1"/>
  <c r="AO32" i="31"/>
  <c r="AM32" i="31"/>
  <c r="AM32" i="29"/>
  <c r="AO32" i="29"/>
  <c r="Z41" i="29"/>
  <c r="AA41" i="29"/>
  <c r="AG41" i="29" s="1"/>
  <c r="AK41" i="29" s="1"/>
  <c r="AO39" i="31"/>
  <c r="AX39" i="31" s="1"/>
  <c r="AM39" i="31"/>
  <c r="AN39" i="31" s="1"/>
  <c r="AC8" i="26"/>
  <c r="AO8" i="26" s="1"/>
  <c r="AB8" i="26"/>
  <c r="AM25" i="29"/>
  <c r="AO25" i="29"/>
  <c r="AX25" i="29" s="1"/>
  <c r="AM24" i="29"/>
  <c r="AO24" i="29"/>
  <c r="AX24" i="29" s="1"/>
  <c r="AA26" i="31"/>
  <c r="AG26" i="31" s="1"/>
  <c r="AK26" i="31" s="1"/>
  <c r="Z26" i="31"/>
  <c r="AO40" i="29"/>
  <c r="AX40" i="29" s="1"/>
  <c r="AM40" i="29"/>
  <c r="Y4" i="29"/>
  <c r="Z4" i="29" s="1"/>
  <c r="AA12" i="29"/>
  <c r="AG12" i="29" s="1"/>
  <c r="AA9" i="29"/>
  <c r="AG9" i="29" s="1"/>
  <c r="AA13" i="29"/>
  <c r="AG13" i="29" s="1"/>
  <c r="AA11" i="29"/>
  <c r="AG11" i="29" s="1"/>
  <c r="AA5" i="29"/>
  <c r="AG5" i="29" s="1"/>
  <c r="AA8" i="29"/>
  <c r="AG8" i="29" s="1"/>
  <c r="AA7" i="29"/>
  <c r="AG7" i="29" s="1"/>
  <c r="AA10" i="29"/>
  <c r="AG10" i="29" s="1"/>
  <c r="AA6" i="29"/>
  <c r="AG6" i="29" s="1"/>
  <c r="AM36" i="29"/>
  <c r="AO36" i="29"/>
  <c r="AX36" i="29" s="1"/>
  <c r="AO34" i="31"/>
  <c r="AX34" i="31" s="1"/>
  <c r="AM34" i="31"/>
  <c r="AN34" i="31" s="1"/>
  <c r="Z27" i="29"/>
  <c r="AA27" i="29"/>
  <c r="AG27" i="29" s="1"/>
  <c r="AK27" i="29" s="1"/>
  <c r="AM22" i="29"/>
  <c r="AO22" i="29"/>
  <c r="AX22" i="29" s="1"/>
  <c r="Z26" i="29"/>
  <c r="AA26" i="29"/>
  <c r="AG26" i="29" s="1"/>
  <c r="AK26" i="29" s="1"/>
  <c r="AE18" i="26"/>
  <c r="AS18" i="26" s="1"/>
  <c r="AD18" i="26"/>
  <c r="AK18" i="26" s="1"/>
  <c r="CD13" i="21"/>
  <c r="BQ13" i="21" s="1"/>
  <c r="AM27" i="31"/>
  <c r="AV17" i="31" s="1"/>
  <c r="AJ7" i="31"/>
  <c r="AJ12" i="31"/>
  <c r="AI12" i="31"/>
  <c r="AA33" i="31"/>
  <c r="Z33" i="31"/>
  <c r="AR18" i="29"/>
  <c r="AP18" i="29"/>
  <c r="AM33" i="31"/>
  <c r="AO33" i="31"/>
  <c r="AA24" i="31"/>
  <c r="AG24" i="31" s="1"/>
  <c r="AK24" i="31" s="1"/>
  <c r="Z24" i="31"/>
  <c r="Z37" i="29"/>
  <c r="AA37" i="29"/>
  <c r="AG37" i="29" s="1"/>
  <c r="AK37" i="29" s="1"/>
  <c r="AP32" i="29"/>
  <c r="AR32" i="29"/>
  <c r="AM21" i="29"/>
  <c r="AO21" i="29"/>
  <c r="AX21" i="29" s="1"/>
  <c r="X18" i="29"/>
  <c r="AF18" i="29" s="1"/>
  <c r="AI18" i="29" s="1"/>
  <c r="Z40" i="29"/>
  <c r="AA40" i="29"/>
  <c r="AG40" i="29" s="1"/>
  <c r="AK40" i="29" s="1"/>
  <c r="AI13" i="31"/>
  <c r="AJ13" i="31"/>
  <c r="AE7" i="21"/>
  <c r="AJ7" i="21" s="1"/>
  <c r="B188" i="30" s="1"/>
  <c r="Z33" i="29"/>
  <c r="AA33" i="29"/>
  <c r="AO38" i="29"/>
  <c r="AX38" i="29" s="1"/>
  <c r="AM38" i="29"/>
  <c r="AO35" i="31"/>
  <c r="AX35" i="31" s="1"/>
  <c r="AM35" i="31"/>
  <c r="AN35" i="31" s="1"/>
  <c r="AM37" i="29"/>
  <c r="AO37" i="29"/>
  <c r="AX37" i="29" s="1"/>
  <c r="AA34" i="29"/>
  <c r="AG34" i="29" s="1"/>
  <c r="AK34" i="29" s="1"/>
  <c r="Z34" i="29"/>
  <c r="AI6" i="29"/>
  <c r="AJ6" i="29"/>
  <c r="Z24" i="29"/>
  <c r="AA24" i="29"/>
  <c r="AG24" i="29" s="1"/>
  <c r="AK24" i="29" s="1"/>
  <c r="AA37" i="31"/>
  <c r="AG37" i="31" s="1"/>
  <c r="AK37" i="31" s="1"/>
  <c r="Z37" i="31"/>
  <c r="AO27" i="29"/>
  <c r="AX27" i="29" s="1"/>
  <c r="AM27" i="29"/>
  <c r="AJ5" i="29"/>
  <c r="AI5" i="29"/>
  <c r="Z25" i="29"/>
  <c r="AA25" i="29"/>
  <c r="AG25" i="29" s="1"/>
  <c r="AK25" i="29" s="1"/>
  <c r="U5" i="26"/>
  <c r="AA5" i="26" s="1"/>
  <c r="AE6" i="21"/>
  <c r="AJ6" i="21" s="1"/>
  <c r="AI6" i="28"/>
  <c r="CB6" i="21"/>
  <c r="BM6" i="21" s="1"/>
  <c r="AM41" i="29"/>
  <c r="AO41" i="29"/>
  <c r="AX41" i="29" s="1"/>
  <c r="Z19" i="29"/>
  <c r="AA19" i="29"/>
  <c r="AJ4" i="29"/>
  <c r="AI4" i="29"/>
  <c r="AJ12" i="29"/>
  <c r="AI12" i="29"/>
  <c r="Z21" i="29"/>
  <c r="AA21" i="29"/>
  <c r="AG21" i="29" s="1"/>
  <c r="AK21" i="29" s="1"/>
  <c r="AJ9" i="29"/>
  <c r="AI9" i="29"/>
  <c r="AO34" i="29"/>
  <c r="AX34" i="29" s="1"/>
  <c r="AM34" i="29"/>
  <c r="AI11" i="29"/>
  <c r="AJ11" i="29"/>
  <c r="AA20" i="31"/>
  <c r="AG20" i="31" s="1"/>
  <c r="AK20" i="31" s="1"/>
  <c r="Z20" i="31"/>
  <c r="Z38" i="29"/>
  <c r="AA38" i="29"/>
  <c r="AG38" i="29" s="1"/>
  <c r="AK38" i="29" s="1"/>
  <c r="Z23" i="29"/>
  <c r="AA23" i="29"/>
  <c r="AG23" i="29" s="1"/>
  <c r="AK23" i="29" s="1"/>
  <c r="AM20" i="29"/>
  <c r="AO20" i="29"/>
  <c r="AX20" i="29" s="1"/>
  <c r="AA39" i="29"/>
  <c r="AG39" i="29" s="1"/>
  <c r="AK39" i="29" s="1"/>
  <c r="Z39" i="29"/>
  <c r="U17" i="26"/>
  <c r="AJ7" i="29"/>
  <c r="AI7" i="29"/>
  <c r="Z36" i="29"/>
  <c r="AA36" i="29"/>
  <c r="AG36" i="29" s="1"/>
  <c r="AK36" i="29" s="1"/>
  <c r="AE10" i="21"/>
  <c r="AJ10" i="21" s="1"/>
  <c r="Z19" i="31"/>
  <c r="AA19" i="31"/>
  <c r="AM37" i="31"/>
  <c r="AN37" i="31" s="1"/>
  <c r="AO37" i="31"/>
  <c r="AX37" i="31" s="1"/>
  <c r="Z21" i="31"/>
  <c r="AA21" i="31"/>
  <c r="AG21" i="31" s="1"/>
  <c r="AK21" i="31" s="1"/>
  <c r="Z34" i="31"/>
  <c r="AA34" i="31"/>
  <c r="AG34" i="31" s="1"/>
  <c r="AK34" i="31" s="1"/>
  <c r="AA38" i="31"/>
  <c r="AG38" i="31" s="1"/>
  <c r="AK38" i="31" s="1"/>
  <c r="Z38" i="31"/>
  <c r="AA23" i="31"/>
  <c r="AG23" i="31" s="1"/>
  <c r="AK23" i="31" s="1"/>
  <c r="Z23" i="31"/>
  <c r="AO19" i="29"/>
  <c r="AM19" i="29"/>
  <c r="AA39" i="31"/>
  <c r="AG39" i="31" s="1"/>
  <c r="AK39" i="31" s="1"/>
  <c r="Z39" i="31"/>
  <c r="CD11" i="21"/>
  <c r="BQ11" i="21" s="1"/>
  <c r="B192" i="30"/>
  <c r="A170" i="30"/>
  <c r="B189" i="30"/>
  <c r="B185" i="30"/>
  <c r="AE9" i="21"/>
  <c r="AJ9" i="21" s="1"/>
  <c r="W3" i="21"/>
  <c r="AE3" i="21" s="1"/>
  <c r="AE12" i="21"/>
  <c r="AJ12" i="21" s="1"/>
  <c r="CD12" i="21"/>
  <c r="BQ12" i="21" s="1"/>
  <c r="CB9" i="21"/>
  <c r="BM9" i="21" s="1"/>
  <c r="AU32" i="21"/>
  <c r="BI32" i="21" s="1"/>
  <c r="AH19" i="21"/>
  <c r="AM19" i="21" s="1"/>
  <c r="AG19" i="21"/>
  <c r="AL19" i="21" s="1"/>
  <c r="AT19" i="21" s="1"/>
  <c r="AF27" i="21"/>
  <c r="AK27" i="21" s="1"/>
  <c r="AE27" i="21"/>
  <c r="AJ27" i="21" s="1"/>
  <c r="AF26" i="21"/>
  <c r="AK26" i="21" s="1"/>
  <c r="AE26" i="21"/>
  <c r="AJ26" i="21" s="1"/>
  <c r="AF25" i="21"/>
  <c r="AK25" i="21" s="1"/>
  <c r="AE25" i="21"/>
  <c r="AJ25" i="21" s="1"/>
  <c r="AR32" i="21"/>
  <c r="AF19" i="21"/>
  <c r="AK19" i="21" s="1"/>
  <c r="AE19" i="21"/>
  <c r="AJ19" i="21" s="1"/>
  <c r="CB10" i="21"/>
  <c r="BM10" i="21" s="1"/>
  <c r="AF20" i="21"/>
  <c r="AK20" i="21" s="1"/>
  <c r="AE20" i="21"/>
  <c r="AJ20" i="21" s="1"/>
  <c r="AF24" i="21"/>
  <c r="AK24" i="21" s="1"/>
  <c r="AE24" i="21"/>
  <c r="AJ24" i="21" s="1"/>
  <c r="AQ4" i="21"/>
  <c r="B166" i="30" s="1"/>
  <c r="AF23" i="21"/>
  <c r="AK23" i="21" s="1"/>
  <c r="AE23" i="21"/>
  <c r="AJ23" i="21" s="1"/>
  <c r="AF22" i="21"/>
  <c r="AK22" i="21" s="1"/>
  <c r="AE22" i="21"/>
  <c r="AJ22" i="21" s="1"/>
  <c r="AN26" i="31"/>
  <c r="AN21" i="31"/>
  <c r="AX18" i="31"/>
  <c r="AN18" i="31"/>
  <c r="AN40" i="31"/>
  <c r="AN38" i="31"/>
  <c r="AO4" i="31"/>
  <c r="AM4" i="31"/>
  <c r="AM5" i="31"/>
  <c r="AO5" i="31"/>
  <c r="AN24" i="31"/>
  <c r="AR18" i="31"/>
  <c r="AP18" i="31"/>
  <c r="AN23" i="31"/>
  <c r="AN19" i="31"/>
  <c r="AN20" i="31"/>
  <c r="AN25" i="31"/>
  <c r="AN22" i="31"/>
  <c r="AO7" i="31"/>
  <c r="AX7" i="31" s="1"/>
  <c r="AM7" i="31"/>
  <c r="AN8" i="21"/>
  <c r="AN11" i="21"/>
  <c r="B155" i="30" s="1"/>
  <c r="AS16" i="26"/>
  <c r="AI5" i="28"/>
  <c r="C27" i="30" s="1"/>
  <c r="AI8" i="28"/>
  <c r="C30" i="30" s="1"/>
  <c r="AI9" i="28"/>
  <c r="C31" i="30" s="1"/>
  <c r="AI10" i="28"/>
  <c r="AI11" i="28"/>
  <c r="C33" i="30" s="1"/>
  <c r="AI12" i="28"/>
  <c r="AI13" i="28"/>
  <c r="C35" i="30" s="1"/>
  <c r="Y3" i="26"/>
  <c r="X3" i="26"/>
  <c r="CD32" i="21"/>
  <c r="CB32" i="21"/>
  <c r="AE21" i="21"/>
  <c r="AJ21" i="21" s="1"/>
  <c r="AF21" i="21"/>
  <c r="AK21" i="21" s="1"/>
  <c r="AE33" i="21"/>
  <c r="AJ33" i="21" s="1"/>
  <c r="AF33" i="21"/>
  <c r="AK33" i="21" s="1"/>
  <c r="AE34" i="21"/>
  <c r="AJ34" i="21" s="1"/>
  <c r="AF34" i="21"/>
  <c r="AK34" i="21" s="1"/>
  <c r="AE35" i="21"/>
  <c r="AJ35" i="21" s="1"/>
  <c r="AF35" i="21"/>
  <c r="AK35" i="21" s="1"/>
  <c r="AE36" i="21"/>
  <c r="AJ36" i="21" s="1"/>
  <c r="AF36" i="21"/>
  <c r="AK36" i="21" s="1"/>
  <c r="AE37" i="21"/>
  <c r="AJ37" i="21" s="1"/>
  <c r="AF37" i="21"/>
  <c r="AK37" i="21" s="1"/>
  <c r="AE38" i="21"/>
  <c r="AJ38" i="21" s="1"/>
  <c r="AF38" i="21"/>
  <c r="AK38" i="21" s="1"/>
  <c r="AE39" i="21"/>
  <c r="AJ39" i="21" s="1"/>
  <c r="AF39" i="21"/>
  <c r="AK39" i="21" s="1"/>
  <c r="AE40" i="21"/>
  <c r="AJ40" i="21" s="1"/>
  <c r="AF40" i="21"/>
  <c r="AK40" i="21" s="1"/>
  <c r="AE41" i="21"/>
  <c r="AJ41" i="21" s="1"/>
  <c r="AF41" i="21"/>
  <c r="AK41" i="21" s="1"/>
  <c r="CD5" i="21"/>
  <c r="CB5" i="21"/>
  <c r="BM4" i="21"/>
  <c r="CC4" i="21"/>
  <c r="BM7" i="21"/>
  <c r="CC7" i="21"/>
  <c r="BM8" i="21"/>
  <c r="CC8" i="21"/>
  <c r="BM11" i="21"/>
  <c r="CC11" i="21"/>
  <c r="BM12" i="21"/>
  <c r="CC12" i="21"/>
  <c r="BM13" i="21"/>
  <c r="CC13" i="21"/>
  <c r="CG33" i="21"/>
  <c r="CE33" i="21"/>
  <c r="AN32" i="28"/>
  <c r="AK32" i="28"/>
  <c r="AN4" i="28"/>
  <c r="B61" i="30"/>
  <c r="X18" i="28"/>
  <c r="AF18" i="28" s="1"/>
  <c r="AI18" i="28" s="1"/>
  <c r="AM18" i="28" s="1"/>
  <c r="AN27" i="28"/>
  <c r="AX27" i="28" s="1"/>
  <c r="AK27" i="28"/>
  <c r="AN26" i="28"/>
  <c r="AX26" i="28" s="1"/>
  <c r="AK26" i="28"/>
  <c r="AN25" i="28"/>
  <c r="AX25" i="28" s="1"/>
  <c r="AK25" i="28"/>
  <c r="AN24" i="28"/>
  <c r="AX24" i="28" s="1"/>
  <c r="AK24" i="28"/>
  <c r="AN23" i="28"/>
  <c r="AX23" i="28" s="1"/>
  <c r="AK23" i="28"/>
  <c r="AN22" i="28"/>
  <c r="AX22" i="28" s="1"/>
  <c r="AK22" i="28"/>
  <c r="AN21" i="28"/>
  <c r="AX21" i="28" s="1"/>
  <c r="AK21" i="28"/>
  <c r="AN20" i="28"/>
  <c r="AX20" i="28" s="1"/>
  <c r="AK20" i="28"/>
  <c r="AN19" i="28"/>
  <c r="AK19" i="28"/>
  <c r="W31" i="21"/>
  <c r="AE32" i="21"/>
  <c r="AJ32" i="21" s="1"/>
  <c r="V18" i="21"/>
  <c r="W18" i="21"/>
  <c r="AF18" i="21" s="1"/>
  <c r="AK18" i="21" s="1"/>
  <c r="AN33" i="28"/>
  <c r="AK33" i="28"/>
  <c r="AN34" i="28"/>
  <c r="AX34" i="28" s="1"/>
  <c r="AK34" i="28"/>
  <c r="AN35" i="28"/>
  <c r="AX35" i="28" s="1"/>
  <c r="AK35" i="28"/>
  <c r="AN7" i="28"/>
  <c r="AX7" i="28" s="1"/>
  <c r="AK7" i="28"/>
  <c r="AN36" i="28"/>
  <c r="AX36" i="28" s="1"/>
  <c r="AK36" i="28"/>
  <c r="AN37" i="28"/>
  <c r="AX37" i="28" s="1"/>
  <c r="AK37" i="28"/>
  <c r="AN38" i="28"/>
  <c r="AX38" i="28" s="1"/>
  <c r="AK38" i="28"/>
  <c r="AN39" i="28"/>
  <c r="AX39" i="28" s="1"/>
  <c r="AK39" i="28"/>
  <c r="AN40" i="28"/>
  <c r="AX40" i="28" s="1"/>
  <c r="AK40" i="28"/>
  <c r="AN41" i="28"/>
  <c r="AX41" i="28" s="1"/>
  <c r="AK41" i="28"/>
  <c r="AG33" i="28"/>
  <c r="AJ33" i="28" s="1"/>
  <c r="AQ33" i="28" s="1"/>
  <c r="AG19" i="28"/>
  <c r="AJ19" i="28" s="1"/>
  <c r="AQ19" i="28" s="1"/>
  <c r="AG33" i="21"/>
  <c r="AL33" i="21" s="1"/>
  <c r="AT33" i="21" s="1"/>
  <c r="AR18" i="28"/>
  <c r="AO18" i="28"/>
  <c r="AR32" i="28"/>
  <c r="AO32" i="28"/>
  <c r="Y27" i="21"/>
  <c r="Z27" i="21"/>
  <c r="Z41" i="21"/>
  <c r="Y41" i="21"/>
  <c r="AA27" i="28"/>
  <c r="AG27" i="28" s="1"/>
  <c r="AJ27" i="28" s="1"/>
  <c r="AQ27" i="28" s="1"/>
  <c r="Z27" i="28"/>
  <c r="AA41" i="28"/>
  <c r="AG41" i="28" s="1"/>
  <c r="AJ41" i="28" s="1"/>
  <c r="AQ41" i="28" s="1"/>
  <c r="Z41" i="28"/>
  <c r="Y26" i="21"/>
  <c r="Z26" i="21"/>
  <c r="Z40" i="21"/>
  <c r="Y40" i="21"/>
  <c r="AA26" i="28"/>
  <c r="AG26" i="28" s="1"/>
  <c r="AJ26" i="28" s="1"/>
  <c r="AQ26" i="28" s="1"/>
  <c r="Z26" i="28"/>
  <c r="AA40" i="28"/>
  <c r="AG40" i="28" s="1"/>
  <c r="AJ40" i="28" s="1"/>
  <c r="AQ40" i="28" s="1"/>
  <c r="Z40" i="28"/>
  <c r="Y25" i="21"/>
  <c r="Z25" i="21"/>
  <c r="Z39" i="21"/>
  <c r="Y39" i="21"/>
  <c r="AA25" i="28"/>
  <c r="AG25" i="28" s="1"/>
  <c r="AJ25" i="28" s="1"/>
  <c r="AQ25" i="28" s="1"/>
  <c r="Z25" i="28"/>
  <c r="AA39" i="28"/>
  <c r="AG39" i="28" s="1"/>
  <c r="AJ39" i="28" s="1"/>
  <c r="AQ39" i="28" s="1"/>
  <c r="Z39" i="28"/>
  <c r="Y24" i="21"/>
  <c r="Z24" i="21"/>
  <c r="Z38" i="21"/>
  <c r="Y38" i="21"/>
  <c r="AA24" i="28"/>
  <c r="AG24" i="28" s="1"/>
  <c r="AJ24" i="28" s="1"/>
  <c r="AQ24" i="28" s="1"/>
  <c r="Z24" i="28"/>
  <c r="AA38" i="28"/>
  <c r="AG38" i="28" s="1"/>
  <c r="AJ38" i="28" s="1"/>
  <c r="AQ38" i="28" s="1"/>
  <c r="Z38" i="28"/>
  <c r="Y23" i="21"/>
  <c r="Z23" i="21"/>
  <c r="Z37" i="21"/>
  <c r="Y37" i="21"/>
  <c r="AA23" i="28"/>
  <c r="AG23" i="28" s="1"/>
  <c r="AJ23" i="28" s="1"/>
  <c r="AQ23" i="28" s="1"/>
  <c r="Z23" i="28"/>
  <c r="AA37" i="28"/>
  <c r="AG37" i="28" s="1"/>
  <c r="AJ37" i="28" s="1"/>
  <c r="AQ37" i="28" s="1"/>
  <c r="Z37" i="28"/>
  <c r="Y22" i="21"/>
  <c r="Z22" i="21"/>
  <c r="Z36" i="21"/>
  <c r="Y36" i="21"/>
  <c r="AA22" i="28"/>
  <c r="AG22" i="28" s="1"/>
  <c r="AJ22" i="28" s="1"/>
  <c r="AQ22" i="28" s="1"/>
  <c r="Z22" i="28"/>
  <c r="AA36" i="28"/>
  <c r="AG36" i="28" s="1"/>
  <c r="AJ36" i="28" s="1"/>
  <c r="AQ36" i="28" s="1"/>
  <c r="Z36" i="28"/>
  <c r="Y21" i="21"/>
  <c r="Z21" i="21"/>
  <c r="Z35" i="21"/>
  <c r="Y35" i="21"/>
  <c r="AA21" i="28"/>
  <c r="AG21" i="28" s="1"/>
  <c r="AJ21" i="28" s="1"/>
  <c r="AQ21" i="28" s="1"/>
  <c r="Z21" i="28"/>
  <c r="AA35" i="28"/>
  <c r="AG35" i="28" s="1"/>
  <c r="AJ35" i="28" s="1"/>
  <c r="AQ35" i="28" s="1"/>
  <c r="Z35" i="28"/>
  <c r="X4" i="21"/>
  <c r="Y4" i="21" s="1"/>
  <c r="AA5" i="28"/>
  <c r="AG5" i="28" s="1"/>
  <c r="AA6" i="28"/>
  <c r="AG6" i="28" s="1"/>
  <c r="AA7" i="28"/>
  <c r="AG7" i="28" s="1"/>
  <c r="AA8" i="28"/>
  <c r="AG8" i="28" s="1"/>
  <c r="AA9" i="28"/>
  <c r="AG9" i="28" s="1"/>
  <c r="AA10" i="28"/>
  <c r="AG10" i="28" s="1"/>
  <c r="AA11" i="28"/>
  <c r="AG11" i="28" s="1"/>
  <c r="AA12" i="28"/>
  <c r="AG12" i="28" s="1"/>
  <c r="AA13" i="28"/>
  <c r="AG13" i="28" s="1"/>
  <c r="C45" i="30"/>
  <c r="C46" i="30"/>
  <c r="C47" i="30"/>
  <c r="C48" i="30"/>
  <c r="C49" i="30"/>
  <c r="C50" i="30"/>
  <c r="C51" i="30"/>
  <c r="C52" i="30"/>
  <c r="C53" i="30"/>
  <c r="Y4" i="28"/>
  <c r="Z4" i="28" s="1"/>
  <c r="Y20" i="21"/>
  <c r="Z20" i="21"/>
  <c r="Z34" i="21"/>
  <c r="AH34" i="21" s="1"/>
  <c r="AM34" i="21" s="1"/>
  <c r="Y34" i="21"/>
  <c r="AA20" i="28"/>
  <c r="Z20" i="28"/>
  <c r="AA34" i="28"/>
  <c r="Z34" i="28"/>
  <c r="AG16" i="26"/>
  <c r="AO6" i="26"/>
  <c r="AQ8" i="21"/>
  <c r="B170" i="30" s="1"/>
  <c r="AQ11" i="21"/>
  <c r="B173" i="30" s="1"/>
  <c r="U4" i="26"/>
  <c r="Z7" i="26"/>
  <c r="Z6" i="26"/>
  <c r="Z5" i="21"/>
  <c r="AH5" i="21" s="1"/>
  <c r="AM5" i="21" s="1"/>
  <c r="Z6" i="21"/>
  <c r="AH6" i="21" s="1"/>
  <c r="AM6" i="21" s="1"/>
  <c r="Z7" i="21"/>
  <c r="AH7" i="21" s="1"/>
  <c r="AM7" i="21" s="1"/>
  <c r="Z8" i="21"/>
  <c r="AH8" i="21" s="1"/>
  <c r="AM8" i="21" s="1"/>
  <c r="Z9" i="21"/>
  <c r="AH9" i="21" s="1"/>
  <c r="AM9" i="21" s="1"/>
  <c r="Z10" i="21"/>
  <c r="AH10" i="21" s="1"/>
  <c r="AM10" i="21" s="1"/>
  <c r="Z11" i="21"/>
  <c r="AH11" i="21" s="1"/>
  <c r="AM11" i="21" s="1"/>
  <c r="Z12" i="21"/>
  <c r="AH12" i="21" s="1"/>
  <c r="AM12" i="21" s="1"/>
  <c r="Z13" i="21"/>
  <c r="AH13" i="21" s="1"/>
  <c r="AM13" i="21" s="1"/>
  <c r="AO4" i="21" l="1"/>
  <c r="C28" i="30"/>
  <c r="E208" i="30"/>
  <c r="E201" i="30"/>
  <c r="AP4" i="21"/>
  <c r="B201" i="30" s="1"/>
  <c r="C201" i="30" s="1"/>
  <c r="A166" i="30"/>
  <c r="AV17" i="28"/>
  <c r="AX33" i="31"/>
  <c r="AZ31" i="31"/>
  <c r="B205" i="30"/>
  <c r="CH8" i="21"/>
  <c r="CH11" i="21"/>
  <c r="B208" i="30"/>
  <c r="C26" i="30"/>
  <c r="AX19" i="28"/>
  <c r="AZ17" i="28"/>
  <c r="AN33" i="31"/>
  <c r="AV31" i="31"/>
  <c r="AX33" i="29"/>
  <c r="AZ31" i="29"/>
  <c r="B269" i="30"/>
  <c r="C269" i="30" s="1"/>
  <c r="AI3" i="26"/>
  <c r="E205" i="30"/>
  <c r="AV31" i="28"/>
  <c r="C32" i="30"/>
  <c r="AV17" i="29"/>
  <c r="AV31" i="29"/>
  <c r="AO5" i="26"/>
  <c r="AQ3" i="26"/>
  <c r="B148" i="30"/>
  <c r="AM12" i="28"/>
  <c r="BI12" i="28" s="1"/>
  <c r="C34" i="30"/>
  <c r="AX19" i="29"/>
  <c r="AZ17" i="29"/>
  <c r="C29" i="30"/>
  <c r="AX33" i="28"/>
  <c r="AZ31" i="28"/>
  <c r="AM7" i="28"/>
  <c r="BI7" i="28" s="1"/>
  <c r="AX5" i="31"/>
  <c r="BO3" i="21"/>
  <c r="AQ15" i="26"/>
  <c r="B275" i="30" s="1"/>
  <c r="BQ5" i="21"/>
  <c r="BS3" i="21"/>
  <c r="AX19" i="31"/>
  <c r="AY17" i="31" s="1"/>
  <c r="AZ17" i="31"/>
  <c r="AN27" i="31"/>
  <c r="E210" i="30"/>
  <c r="A173" i="30"/>
  <c r="A205" i="30"/>
  <c r="AM6" i="31"/>
  <c r="AW17" i="31"/>
  <c r="AP15" i="26"/>
  <c r="AN15" i="26"/>
  <c r="B243" i="30" s="1"/>
  <c r="C243" i="30" s="1"/>
  <c r="AF15" i="26"/>
  <c r="B239" i="30" s="1"/>
  <c r="C223" i="30"/>
  <c r="C231" i="30"/>
  <c r="AT18" i="31" a="1"/>
  <c r="AT18" i="31" s="1"/>
  <c r="AU17" i="31" s="1"/>
  <c r="AK12" i="28"/>
  <c r="AT12" i="28" s="1"/>
  <c r="AN12" i="28"/>
  <c r="AX12" i="28" s="1"/>
  <c r="B271" i="30"/>
  <c r="C271" i="30" s="1"/>
  <c r="AG17" i="26"/>
  <c r="AH15" i="26" s="1"/>
  <c r="B257" i="30" s="1"/>
  <c r="C189" i="30"/>
  <c r="AP22" i="21"/>
  <c r="C193" i="30"/>
  <c r="AP26" i="21"/>
  <c r="D193" i="30"/>
  <c r="AP40" i="21"/>
  <c r="C188" i="30"/>
  <c r="AP21" i="21"/>
  <c r="AN11" i="28"/>
  <c r="AX11" i="28" s="1"/>
  <c r="AM11" i="28"/>
  <c r="BI11" i="28" s="1"/>
  <c r="C191" i="30"/>
  <c r="AP24" i="21"/>
  <c r="AN8" i="28"/>
  <c r="AX8" i="28" s="1"/>
  <c r="AM8" i="28"/>
  <c r="BI8" i="28" s="1"/>
  <c r="D191" i="30"/>
  <c r="AP38" i="21"/>
  <c r="D187" i="30"/>
  <c r="AP34" i="21"/>
  <c r="AN5" i="28"/>
  <c r="AM5" i="28"/>
  <c r="BI5" i="28" s="1"/>
  <c r="AP12" i="21"/>
  <c r="A209" i="30"/>
  <c r="C190" i="30"/>
  <c r="AP23" i="21"/>
  <c r="C194" i="30"/>
  <c r="AP27" i="21"/>
  <c r="D190" i="30"/>
  <c r="AP37" i="21"/>
  <c r="AQ9" i="21"/>
  <c r="B171" i="30" s="1"/>
  <c r="E206" i="30" s="1"/>
  <c r="AP9" i="21"/>
  <c r="A206" i="30"/>
  <c r="D189" i="30"/>
  <c r="AP36" i="21"/>
  <c r="D194" i="30"/>
  <c r="AP41" i="21"/>
  <c r="D186" i="30"/>
  <c r="AP33" i="21"/>
  <c r="AN13" i="28"/>
  <c r="AX13" i="28" s="1"/>
  <c r="AM13" i="28"/>
  <c r="BI13" i="28" s="1"/>
  <c r="C186" i="30"/>
  <c r="AP19" i="21"/>
  <c r="A172" i="30"/>
  <c r="AP10" i="21"/>
  <c r="A207" i="30"/>
  <c r="AN6" i="28"/>
  <c r="AX6" i="28" s="1"/>
  <c r="AM6" i="28"/>
  <c r="BI6" i="28" s="1"/>
  <c r="AK10" i="28"/>
  <c r="AT10" i="28" s="1"/>
  <c r="AM10" i="28"/>
  <c r="BI10" i="28" s="1"/>
  <c r="AN9" i="21"/>
  <c r="B153" i="30" s="1"/>
  <c r="C192" i="30"/>
  <c r="AP25" i="21"/>
  <c r="D185" i="30"/>
  <c r="AP32" i="21"/>
  <c r="D192" i="30"/>
  <c r="AP39" i="21"/>
  <c r="D188" i="30"/>
  <c r="AP35" i="21"/>
  <c r="AN9" i="28"/>
  <c r="AX9" i="28" s="1"/>
  <c r="AM9" i="28"/>
  <c r="BI9" i="28" s="1"/>
  <c r="C187" i="30"/>
  <c r="AP20" i="21"/>
  <c r="B187" i="30"/>
  <c r="A203" i="30"/>
  <c r="AP6" i="21"/>
  <c r="A169" i="30"/>
  <c r="AP7" i="21"/>
  <c r="A204" i="30"/>
  <c r="A175" i="30"/>
  <c r="AP13" i="21"/>
  <c r="A210" i="30"/>
  <c r="AQ5" i="21"/>
  <c r="AP5" i="21"/>
  <c r="A202" i="30"/>
  <c r="Z5" i="26"/>
  <c r="AG4" i="26" a="1"/>
  <c r="AG4" i="26" s="1"/>
  <c r="AH3" i="26" s="1"/>
  <c r="B255" i="30" s="1"/>
  <c r="C255" i="30" s="1"/>
  <c r="AF3" i="26"/>
  <c r="B237" i="30" s="1"/>
  <c r="C237" i="30" s="1"/>
  <c r="AN10" i="28"/>
  <c r="AX10" i="28" s="1"/>
  <c r="AQ6" i="21"/>
  <c r="B168" i="30" s="1"/>
  <c r="E203" i="30" s="1"/>
  <c r="AN13" i="21"/>
  <c r="B157" i="30" s="1"/>
  <c r="AN7" i="21"/>
  <c r="B64" i="30" s="1"/>
  <c r="B186" i="30"/>
  <c r="B194" i="30"/>
  <c r="AN5" i="21"/>
  <c r="AQ7" i="21"/>
  <c r="B169" i="30" s="1"/>
  <c r="E204" i="30" s="1"/>
  <c r="AN6" i="21"/>
  <c r="B150" i="30" s="1"/>
  <c r="A168" i="30"/>
  <c r="AN3" i="26"/>
  <c r="B246" i="30" s="1"/>
  <c r="B278" i="30"/>
  <c r="AK11" i="28"/>
  <c r="AT11" i="28" s="1"/>
  <c r="AF3" i="21"/>
  <c r="AQ10" i="21"/>
  <c r="B172" i="30" s="1"/>
  <c r="E207" i="30" s="1"/>
  <c r="AK5" i="28"/>
  <c r="AK8" i="28"/>
  <c r="AL8" i="28" s="1"/>
  <c r="AK6" i="28"/>
  <c r="AL6" i="28" s="1"/>
  <c r="AN10" i="21"/>
  <c r="B154" i="30" s="1"/>
  <c r="AK13" i="28"/>
  <c r="AK9" i="28"/>
  <c r="B191" i="30"/>
  <c r="AG19" i="31"/>
  <c r="AK19" i="31" s="1"/>
  <c r="AA17" i="31"/>
  <c r="AG17" i="31" s="1"/>
  <c r="AR37" i="31"/>
  <c r="BF37" i="31" s="1"/>
  <c r="AP37" i="31"/>
  <c r="AQ37" i="31" s="1"/>
  <c r="AK10" i="29"/>
  <c r="AL10" i="29"/>
  <c r="AW31" i="29"/>
  <c r="AX32" i="29"/>
  <c r="AO10" i="31"/>
  <c r="AX10" i="31" s="1"/>
  <c r="AM10" i="31"/>
  <c r="AT10" i="31" s="1"/>
  <c r="AK8" i="31"/>
  <c r="AL8" i="31"/>
  <c r="AA4" i="31"/>
  <c r="AR35" i="29"/>
  <c r="BF35" i="29" s="1"/>
  <c r="AP35" i="29"/>
  <c r="AQ35" i="29" s="1"/>
  <c r="AR36" i="31"/>
  <c r="BF36" i="31" s="1"/>
  <c r="AP36" i="31"/>
  <c r="AQ36" i="31" s="1"/>
  <c r="AR38" i="31"/>
  <c r="BF38" i="31" s="1"/>
  <c r="AP38" i="31"/>
  <c r="AQ38" i="31" s="1"/>
  <c r="AR21" i="29"/>
  <c r="BF21" i="29" s="1"/>
  <c r="AP21" i="29"/>
  <c r="AQ21" i="29" s="1"/>
  <c r="AR25" i="29"/>
  <c r="BF25" i="29" s="1"/>
  <c r="AP25" i="29"/>
  <c r="AQ25" i="29" s="1"/>
  <c r="AP24" i="29"/>
  <c r="AQ24" i="29" s="1"/>
  <c r="AR24" i="29"/>
  <c r="BF24" i="29" s="1"/>
  <c r="AR27" i="29"/>
  <c r="BF27" i="29" s="1"/>
  <c r="AP27" i="29"/>
  <c r="AQ27" i="29" s="1"/>
  <c r="AK7" i="29"/>
  <c r="AL7" i="29"/>
  <c r="AL13" i="29"/>
  <c r="AK13" i="29"/>
  <c r="AA4" i="29"/>
  <c r="AT32" i="29" a="1"/>
  <c r="AT32" i="29" s="1"/>
  <c r="AU31" i="29" s="1"/>
  <c r="AK12" i="31"/>
  <c r="AL12" i="31"/>
  <c r="AL10" i="31"/>
  <c r="AK10" i="31"/>
  <c r="AP22" i="31"/>
  <c r="AQ22" i="31" s="1"/>
  <c r="AR22" i="31"/>
  <c r="BF22" i="31" s="1"/>
  <c r="AR25" i="31"/>
  <c r="BF25" i="31" s="1"/>
  <c r="AP25" i="31"/>
  <c r="AQ25" i="31" s="1"/>
  <c r="AR34" i="31"/>
  <c r="BF34" i="31" s="1"/>
  <c r="AP34" i="31"/>
  <c r="AQ34" i="31" s="1"/>
  <c r="AP39" i="29"/>
  <c r="AQ39" i="29" s="1"/>
  <c r="AR39" i="29"/>
  <c r="BF39" i="29" s="1"/>
  <c r="AR20" i="31"/>
  <c r="BF20" i="31" s="1"/>
  <c r="AP20" i="31"/>
  <c r="AQ20" i="31" s="1"/>
  <c r="BF32" i="29"/>
  <c r="AQ18" i="29"/>
  <c r="AL8" i="29"/>
  <c r="AK8" i="29"/>
  <c r="AT32" i="31" a="1"/>
  <c r="AT32" i="31" s="1"/>
  <c r="AU31" i="31" s="1"/>
  <c r="AK5" i="31"/>
  <c r="AL5" i="31"/>
  <c r="AL13" i="31"/>
  <c r="AK13" i="31"/>
  <c r="AR41" i="31"/>
  <c r="BF41" i="31" s="1"/>
  <c r="AP41" i="31"/>
  <c r="AQ41" i="31" s="1"/>
  <c r="AO13" i="31"/>
  <c r="AX13" i="31" s="1"/>
  <c r="AM13" i="31"/>
  <c r="AT13" i="31" s="1"/>
  <c r="AQ32" i="29"/>
  <c r="AX32" i="31"/>
  <c r="AY31" i="31" s="1"/>
  <c r="AW31" i="31"/>
  <c r="AO13" i="29"/>
  <c r="AX13" i="29" s="1"/>
  <c r="AM13" i="29"/>
  <c r="AK6" i="31"/>
  <c r="AL6" i="31"/>
  <c r="AL11" i="31"/>
  <c r="AK11" i="31"/>
  <c r="AR27" i="31"/>
  <c r="BF27" i="31" s="1"/>
  <c r="AP27" i="31"/>
  <c r="AQ27" i="31" s="1"/>
  <c r="AM12" i="29"/>
  <c r="AO12" i="29"/>
  <c r="AX12" i="29" s="1"/>
  <c r="AM5" i="29"/>
  <c r="AO5" i="29"/>
  <c r="BF18" i="29"/>
  <c r="AL5" i="29"/>
  <c r="AK5" i="29"/>
  <c r="AL12" i="28"/>
  <c r="AR21" i="31"/>
  <c r="BF21" i="31" s="1"/>
  <c r="AP21" i="31"/>
  <c r="AQ21" i="31" s="1"/>
  <c r="AO11" i="29"/>
  <c r="AX11" i="29" s="1"/>
  <c r="AM11" i="29"/>
  <c r="AT11" i="29" s="1"/>
  <c r="AO6" i="29"/>
  <c r="AX6" i="29" s="1"/>
  <c r="AM6" i="29"/>
  <c r="AP40" i="29"/>
  <c r="AQ40" i="29" s="1"/>
  <c r="AR40" i="29"/>
  <c r="BF40" i="29" s="1"/>
  <c r="AP37" i="29"/>
  <c r="AQ37" i="29" s="1"/>
  <c r="AR37" i="29"/>
  <c r="BF37" i="29" s="1"/>
  <c r="AL11" i="29"/>
  <c r="AK11" i="29"/>
  <c r="AK9" i="29"/>
  <c r="AL9" i="29"/>
  <c r="AP22" i="29"/>
  <c r="AQ22" i="29" s="1"/>
  <c r="AR22" i="29"/>
  <c r="BF22" i="29" s="1"/>
  <c r="AM9" i="31"/>
  <c r="AT9" i="31" s="1"/>
  <c r="AO9" i="31"/>
  <c r="AX9" i="31" s="1"/>
  <c r="AP40" i="31"/>
  <c r="AQ40" i="31" s="1"/>
  <c r="AR40" i="31"/>
  <c r="BF40" i="31" s="1"/>
  <c r="AR20" i="29"/>
  <c r="BF20" i="29" s="1"/>
  <c r="AP20" i="29"/>
  <c r="AQ20" i="29" s="1"/>
  <c r="AO8" i="31"/>
  <c r="AX8" i="31" s="1"/>
  <c r="AM8" i="31"/>
  <c r="AT8" i="31" s="1"/>
  <c r="CC6" i="21"/>
  <c r="AO7" i="29"/>
  <c r="AX7" i="29" s="1"/>
  <c r="AM7" i="29"/>
  <c r="AR23" i="29"/>
  <c r="BF23" i="29" s="1"/>
  <c r="AP23" i="29"/>
  <c r="AQ23" i="29" s="1"/>
  <c r="AM4" i="29"/>
  <c r="AO4" i="29"/>
  <c r="AG33" i="29"/>
  <c r="AK33" i="29" s="1"/>
  <c r="AA31" i="29"/>
  <c r="AG31" i="29" s="1"/>
  <c r="AG33" i="31"/>
  <c r="AK33" i="31" s="1"/>
  <c r="AA31" i="31"/>
  <c r="AG31" i="31" s="1"/>
  <c r="AP26" i="29"/>
  <c r="AQ26" i="29" s="1"/>
  <c r="AR26" i="29"/>
  <c r="BF26" i="29" s="1"/>
  <c r="AL12" i="29"/>
  <c r="AK12" i="29"/>
  <c r="AP26" i="31"/>
  <c r="AQ26" i="31" s="1"/>
  <c r="AR26" i="31"/>
  <c r="BF26" i="31" s="1"/>
  <c r="AO11" i="31"/>
  <c r="AX11" i="31" s="1"/>
  <c r="AM11" i="31"/>
  <c r="AT11" i="31" s="1"/>
  <c r="A148" i="30" a="1"/>
  <c r="A148" i="30" s="1"/>
  <c r="AP34" i="29"/>
  <c r="AQ34" i="29" s="1"/>
  <c r="AR34" i="29"/>
  <c r="BF34" i="29" s="1"/>
  <c r="AM18" i="29"/>
  <c r="AN22" i="29" s="1"/>
  <c r="AO18" i="29"/>
  <c r="AM12" i="31"/>
  <c r="AO12" i="31"/>
  <c r="AX12" i="31" s="1"/>
  <c r="AP41" i="29"/>
  <c r="AQ41" i="29" s="1"/>
  <c r="AR41" i="29"/>
  <c r="BF41" i="29" s="1"/>
  <c r="AK7" i="31"/>
  <c r="AL7" i="31"/>
  <c r="AP39" i="31"/>
  <c r="AQ39" i="31" s="1"/>
  <c r="AR39" i="31"/>
  <c r="BF39" i="31" s="1"/>
  <c r="AR36" i="29"/>
  <c r="BF36" i="29" s="1"/>
  <c r="AP36" i="29"/>
  <c r="AQ36" i="29" s="1"/>
  <c r="AR23" i="31"/>
  <c r="BF23" i="31" s="1"/>
  <c r="AP23" i="31"/>
  <c r="AQ23" i="31" s="1"/>
  <c r="AA17" i="26"/>
  <c r="Z17" i="26"/>
  <c r="U15" i="26"/>
  <c r="AR38" i="29"/>
  <c r="BF38" i="29" s="1"/>
  <c r="AP38" i="29"/>
  <c r="AQ38" i="29" s="1"/>
  <c r="AM9" i="29"/>
  <c r="AO9" i="29"/>
  <c r="AX9" i="29" s="1"/>
  <c r="AG19" i="29"/>
  <c r="AK19" i="29" s="1"/>
  <c r="AA17" i="29"/>
  <c r="AG17" i="29" s="1"/>
  <c r="AN32" i="31"/>
  <c r="AS31" i="31" s="1"/>
  <c r="AP24" i="31"/>
  <c r="AQ24" i="31" s="1"/>
  <c r="AR24" i="31"/>
  <c r="BF24" i="31" s="1"/>
  <c r="AK6" i="29"/>
  <c r="AL6" i="29"/>
  <c r="BF32" i="31"/>
  <c r="AK9" i="31"/>
  <c r="AL9" i="31"/>
  <c r="AR35" i="31"/>
  <c r="BF35" i="31" s="1"/>
  <c r="AP35" i="31"/>
  <c r="AQ35" i="31" s="1"/>
  <c r="AM10" i="29"/>
  <c r="AO10" i="29"/>
  <c r="AX10" i="29" s="1"/>
  <c r="AO8" i="29"/>
  <c r="AX8" i="29" s="1"/>
  <c r="AM8" i="29"/>
  <c r="CC9" i="21"/>
  <c r="AQ12" i="21"/>
  <c r="B174" i="30" s="1"/>
  <c r="E209" i="30" s="1"/>
  <c r="AN12" i="21"/>
  <c r="B156" i="30" s="1"/>
  <c r="AO8" i="21"/>
  <c r="B152" i="30"/>
  <c r="AQ39" i="21"/>
  <c r="BA39" i="21" s="1"/>
  <c r="AQ41" i="21"/>
  <c r="BA41" i="21" s="1"/>
  <c r="A174" i="30"/>
  <c r="B193" i="30"/>
  <c r="AN39" i="21"/>
  <c r="AN35" i="21"/>
  <c r="B190" i="30"/>
  <c r="A171" i="30"/>
  <c r="AQ33" i="21"/>
  <c r="AQ38" i="21"/>
  <c r="BA38" i="21" s="1"/>
  <c r="BA4" i="21"/>
  <c r="BP3" i="21"/>
  <c r="AN41" i="21"/>
  <c r="BR3" i="21"/>
  <c r="AQ37" i="21"/>
  <c r="BA37" i="21" s="1"/>
  <c r="AQ34" i="21"/>
  <c r="BA34" i="21" s="1"/>
  <c r="AN33" i="21"/>
  <c r="AW11" i="21"/>
  <c r="AW8" i="21"/>
  <c r="AW9" i="21"/>
  <c r="Z4" i="21"/>
  <c r="AH4" i="21" s="1"/>
  <c r="AM4" i="21" s="1"/>
  <c r="CE4" i="21" s="1"/>
  <c r="CF33" i="21" s="1"/>
  <c r="AO11" i="21"/>
  <c r="AN37" i="21"/>
  <c r="CC10" i="21"/>
  <c r="BL3" i="21"/>
  <c r="AQ35" i="21"/>
  <c r="BA35" i="21" s="1"/>
  <c r="BA8" i="21"/>
  <c r="AN23" i="21"/>
  <c r="AQ23" i="21"/>
  <c r="BA23" i="21" s="1"/>
  <c r="CD19" i="21"/>
  <c r="CB19" i="21"/>
  <c r="AN26" i="21"/>
  <c r="AQ26" i="21"/>
  <c r="BA26" i="21" s="1"/>
  <c r="CD26" i="21"/>
  <c r="BQ26" i="21" s="1"/>
  <c r="CB26" i="21"/>
  <c r="AQ27" i="21"/>
  <c r="BA27" i="21" s="1"/>
  <c r="AN27" i="21"/>
  <c r="AQ19" i="21"/>
  <c r="AN19" i="21"/>
  <c r="AN38" i="21"/>
  <c r="AN20" i="21"/>
  <c r="AQ20" i="21"/>
  <c r="BA20" i="21" s="1"/>
  <c r="CB27" i="21"/>
  <c r="CD27" i="21"/>
  <c r="BQ27" i="21" s="1"/>
  <c r="CB23" i="21"/>
  <c r="CD23" i="21"/>
  <c r="BQ23" i="21" s="1"/>
  <c r="AQ24" i="21"/>
  <c r="BA24" i="21" s="1"/>
  <c r="AN24" i="21"/>
  <c r="CD24" i="21"/>
  <c r="BQ24" i="21" s="1"/>
  <c r="CB24" i="21"/>
  <c r="BA13" i="21"/>
  <c r="AQ40" i="21"/>
  <c r="BA40" i="21" s="1"/>
  <c r="AQ36" i="21"/>
  <c r="BA36" i="21" s="1"/>
  <c r="AN22" i="21"/>
  <c r="AQ22" i="21"/>
  <c r="BA22" i="21" s="1"/>
  <c r="CD20" i="21"/>
  <c r="BQ20" i="21" s="1"/>
  <c r="CB20" i="21"/>
  <c r="AN25" i="21"/>
  <c r="AQ25" i="21"/>
  <c r="BA25" i="21" s="1"/>
  <c r="AR19" i="21"/>
  <c r="AU19" i="21"/>
  <c r="BA11" i="21"/>
  <c r="AN34" i="21"/>
  <c r="AO9" i="21"/>
  <c r="AN40" i="21"/>
  <c r="AN36" i="21"/>
  <c r="CD22" i="21"/>
  <c r="BQ22" i="21" s="1"/>
  <c r="CB22" i="21"/>
  <c r="CD25" i="21"/>
  <c r="BQ25" i="21" s="1"/>
  <c r="CB25" i="21"/>
  <c r="CG19" i="21"/>
  <c r="CE19" i="21"/>
  <c r="AQ18" i="31"/>
  <c r="AQ32" i="31"/>
  <c r="AX4" i="31"/>
  <c r="AS17" i="31"/>
  <c r="AT6" i="31"/>
  <c r="AN6" i="31"/>
  <c r="AT7" i="31"/>
  <c r="AN7" i="31"/>
  <c r="BF18" i="31"/>
  <c r="AT5" i="31"/>
  <c r="AN5" i="31"/>
  <c r="AT4" i="31"/>
  <c r="AN4" i="31"/>
  <c r="AL7" i="28"/>
  <c r="AT7" i="28"/>
  <c r="AT32" i="28" a="1"/>
  <c r="AT32" i="28" s="1"/>
  <c r="AT4" i="28"/>
  <c r="AJ12" i="28"/>
  <c r="B34" i="30" s="1"/>
  <c r="AJ11" i="28"/>
  <c r="B33" i="30" s="1"/>
  <c r="AJ10" i="28"/>
  <c r="B32" i="30" s="1"/>
  <c r="AJ9" i="28"/>
  <c r="B31" i="30" s="1"/>
  <c r="AJ8" i="28"/>
  <c r="B30" i="30" s="1"/>
  <c r="AJ7" i="28"/>
  <c r="B29" i="30" s="1"/>
  <c r="AJ6" i="28"/>
  <c r="B28" i="30" s="1"/>
  <c r="AJ5" i="28"/>
  <c r="B27" i="30" s="1"/>
  <c r="AJ13" i="28"/>
  <c r="B35" i="30" s="1"/>
  <c r="AP3" i="26"/>
  <c r="Z4" i="26"/>
  <c r="AE4" i="26" s="1"/>
  <c r="AS4" i="26" s="1"/>
  <c r="AA4" i="26"/>
  <c r="CD18" i="21"/>
  <c r="CB18" i="21"/>
  <c r="AE31" i="21"/>
  <c r="AF31" i="21"/>
  <c r="BM5" i="21"/>
  <c r="BN3" i="21" s="1"/>
  <c r="CC5" i="21"/>
  <c r="CD41" i="21"/>
  <c r="BQ41" i="21" s="1"/>
  <c r="CB41" i="21"/>
  <c r="CD40" i="21"/>
  <c r="BQ40" i="21" s="1"/>
  <c r="CB40" i="21"/>
  <c r="CD39" i="21"/>
  <c r="BQ39" i="21" s="1"/>
  <c r="CB39" i="21"/>
  <c r="CD38" i="21"/>
  <c r="BQ38" i="21" s="1"/>
  <c r="CB38" i="21"/>
  <c r="CD37" i="21"/>
  <c r="BQ37" i="21" s="1"/>
  <c r="CB37" i="21"/>
  <c r="CD36" i="21"/>
  <c r="BQ36" i="21" s="1"/>
  <c r="CB36" i="21"/>
  <c r="CD35" i="21"/>
  <c r="BQ35" i="21" s="1"/>
  <c r="CB35" i="21"/>
  <c r="CD34" i="21"/>
  <c r="BQ34" i="21" s="1"/>
  <c r="CB34" i="21"/>
  <c r="CD33" i="21"/>
  <c r="CB33" i="21"/>
  <c r="CD21" i="21"/>
  <c r="BQ21" i="21" s="1"/>
  <c r="CB21" i="21"/>
  <c r="AQ21" i="21"/>
  <c r="BA21" i="21" s="1"/>
  <c r="AN21" i="21"/>
  <c r="CC32" i="21"/>
  <c r="BM32" i="21"/>
  <c r="BQ32" i="21"/>
  <c r="CG13" i="21"/>
  <c r="BY13" i="21" s="1"/>
  <c r="CE13" i="21"/>
  <c r="CG12" i="21"/>
  <c r="BY12" i="21" s="1"/>
  <c r="CE12" i="21"/>
  <c r="CG11" i="21"/>
  <c r="BY11" i="21" s="1"/>
  <c r="CE11" i="21"/>
  <c r="CG10" i="21"/>
  <c r="BY10" i="21" s="1"/>
  <c r="CE10" i="21"/>
  <c r="CG9" i="21"/>
  <c r="BY9" i="21" s="1"/>
  <c r="CE9" i="21"/>
  <c r="CG8" i="21"/>
  <c r="BY8" i="21" s="1"/>
  <c r="CE8" i="21"/>
  <c r="CG7" i="21"/>
  <c r="BY7" i="21" s="1"/>
  <c r="CE7" i="21"/>
  <c r="CG6" i="21"/>
  <c r="BY6" i="21" s="1"/>
  <c r="CE6" i="21"/>
  <c r="CG5" i="21"/>
  <c r="CE5" i="21"/>
  <c r="CG34" i="21"/>
  <c r="BY34" i="21" s="1"/>
  <c r="CE34" i="21"/>
  <c r="AG20" i="21"/>
  <c r="AL20" i="21" s="1"/>
  <c r="AT20" i="21" s="1"/>
  <c r="AH20" i="21"/>
  <c r="AM20" i="21" s="1"/>
  <c r="AG35" i="21"/>
  <c r="AL35" i="21" s="1"/>
  <c r="AT35" i="21" s="1"/>
  <c r="AH35" i="21"/>
  <c r="AM35" i="21" s="1"/>
  <c r="AG21" i="21"/>
  <c r="AL21" i="21" s="1"/>
  <c r="AT21" i="21" s="1"/>
  <c r="AH21" i="21"/>
  <c r="AM21" i="21" s="1"/>
  <c r="AG36" i="21"/>
  <c r="AL36" i="21" s="1"/>
  <c r="AT36" i="21" s="1"/>
  <c r="AH36" i="21"/>
  <c r="AM36" i="21" s="1"/>
  <c r="AG22" i="21"/>
  <c r="AL22" i="21" s="1"/>
  <c r="AT22" i="21" s="1"/>
  <c r="AH22" i="21"/>
  <c r="AM22" i="21" s="1"/>
  <c r="AG37" i="21"/>
  <c r="AL37" i="21" s="1"/>
  <c r="AT37" i="21" s="1"/>
  <c r="AH37" i="21"/>
  <c r="AM37" i="21" s="1"/>
  <c r="AG23" i="21"/>
  <c r="AL23" i="21" s="1"/>
  <c r="AT23" i="21" s="1"/>
  <c r="AH23" i="21"/>
  <c r="AM23" i="21" s="1"/>
  <c r="AG38" i="21"/>
  <c r="AL38" i="21" s="1"/>
  <c r="AT38" i="21" s="1"/>
  <c r="AH38" i="21"/>
  <c r="AM38" i="21" s="1"/>
  <c r="AG24" i="21"/>
  <c r="AL24" i="21" s="1"/>
  <c r="AT24" i="21" s="1"/>
  <c r="AH24" i="21"/>
  <c r="AM24" i="21" s="1"/>
  <c r="AG39" i="21"/>
  <c r="AL39" i="21" s="1"/>
  <c r="AT39" i="21" s="1"/>
  <c r="AH39" i="21"/>
  <c r="AM39" i="21" s="1"/>
  <c r="AG25" i="21"/>
  <c r="AL25" i="21" s="1"/>
  <c r="AT25" i="21" s="1"/>
  <c r="AH25" i="21"/>
  <c r="AM25" i="21" s="1"/>
  <c r="AG40" i="21"/>
  <c r="AL40" i="21" s="1"/>
  <c r="AT40" i="21" s="1"/>
  <c r="AH40" i="21"/>
  <c r="AM40" i="21" s="1"/>
  <c r="AG26" i="21"/>
  <c r="AL26" i="21" s="1"/>
  <c r="AT26" i="21" s="1"/>
  <c r="AH26" i="21"/>
  <c r="AM26" i="21" s="1"/>
  <c r="AG41" i="21"/>
  <c r="AL41" i="21" s="1"/>
  <c r="AT41" i="21" s="1"/>
  <c r="AH41" i="21"/>
  <c r="AM41" i="21" s="1"/>
  <c r="AG27" i="21"/>
  <c r="AL27" i="21" s="1"/>
  <c r="AT27" i="21" s="1"/>
  <c r="AH27" i="21"/>
  <c r="AM27" i="21" s="1"/>
  <c r="BU33" i="21"/>
  <c r="BY33" i="21"/>
  <c r="AG13" i="21"/>
  <c r="AL13" i="21" s="1"/>
  <c r="AT13" i="21" s="1"/>
  <c r="CI13" i="21" s="1"/>
  <c r="AG12" i="21"/>
  <c r="AL12" i="21" s="1"/>
  <c r="AT12" i="21" s="1"/>
  <c r="CI12" i="21" s="1"/>
  <c r="AG11" i="21"/>
  <c r="AL11" i="21" s="1"/>
  <c r="AT11" i="21" s="1"/>
  <c r="CI11" i="21" s="1"/>
  <c r="AG10" i="21"/>
  <c r="AL10" i="21" s="1"/>
  <c r="AT10" i="21" s="1"/>
  <c r="CI10" i="21" s="1"/>
  <c r="AG9" i="21"/>
  <c r="AL9" i="21" s="1"/>
  <c r="AT9" i="21" s="1"/>
  <c r="CI9" i="21" s="1"/>
  <c r="AG8" i="21"/>
  <c r="AL8" i="21" s="1"/>
  <c r="AT8" i="21" s="1"/>
  <c r="CI8" i="21" s="1"/>
  <c r="AG7" i="21"/>
  <c r="AL7" i="21" s="1"/>
  <c r="AT7" i="21" s="1"/>
  <c r="CI7" i="21" s="1"/>
  <c r="AG6" i="21"/>
  <c r="AL6" i="21" s="1"/>
  <c r="AT6" i="21" s="1"/>
  <c r="CI6" i="21" s="1"/>
  <c r="AG5" i="21"/>
  <c r="AL5" i="21" s="1"/>
  <c r="AT5" i="21" s="1"/>
  <c r="CI5" i="21" s="1"/>
  <c r="AG34" i="28"/>
  <c r="AJ34" i="28" s="1"/>
  <c r="AQ34" i="28" s="1"/>
  <c r="AA31" i="28"/>
  <c r="AG31" i="28" s="1"/>
  <c r="AG20" i="28"/>
  <c r="AJ20" i="28" s="1"/>
  <c r="AQ20" i="28" s="1"/>
  <c r="AA17" i="28"/>
  <c r="AG17" i="28" s="1"/>
  <c r="AG34" i="21"/>
  <c r="AL34" i="21" s="1"/>
  <c r="AT34" i="21" s="1"/>
  <c r="Z31" i="21"/>
  <c r="AA4" i="28"/>
  <c r="AG4" i="28" s="1"/>
  <c r="AJ4" i="28" s="1"/>
  <c r="C44" i="30"/>
  <c r="AR35" i="28"/>
  <c r="BF35" i="28" s="1"/>
  <c r="AO35" i="28"/>
  <c r="AP35" i="28" s="1"/>
  <c r="AR21" i="28"/>
  <c r="BF21" i="28" s="1"/>
  <c r="AO21" i="28"/>
  <c r="AP21" i="28" s="1"/>
  <c r="AR36" i="28"/>
  <c r="BF36" i="28" s="1"/>
  <c r="AO36" i="28"/>
  <c r="AP36" i="28" s="1"/>
  <c r="AR22" i="28"/>
  <c r="BF22" i="28" s="1"/>
  <c r="AO22" i="28"/>
  <c r="AP22" i="28" s="1"/>
  <c r="AR37" i="28"/>
  <c r="BF37" i="28" s="1"/>
  <c r="AO37" i="28"/>
  <c r="AP37" i="28" s="1"/>
  <c r="AR23" i="28"/>
  <c r="BF23" i="28" s="1"/>
  <c r="AO23" i="28"/>
  <c r="AP23" i="28" s="1"/>
  <c r="AR38" i="28"/>
  <c r="BF38" i="28" s="1"/>
  <c r="AO38" i="28"/>
  <c r="AP38" i="28" s="1"/>
  <c r="AR24" i="28"/>
  <c r="BF24" i="28" s="1"/>
  <c r="AO24" i="28"/>
  <c r="AP24" i="28" s="1"/>
  <c r="AR39" i="28"/>
  <c r="BF39" i="28" s="1"/>
  <c r="AO39" i="28"/>
  <c r="AP39" i="28" s="1"/>
  <c r="AR25" i="28"/>
  <c r="BF25" i="28" s="1"/>
  <c r="AO25" i="28"/>
  <c r="AP25" i="28" s="1"/>
  <c r="AR40" i="28"/>
  <c r="BF40" i="28" s="1"/>
  <c r="AO40" i="28"/>
  <c r="AP40" i="28" s="1"/>
  <c r="AR26" i="28"/>
  <c r="BF26" i="28" s="1"/>
  <c r="AO26" i="28"/>
  <c r="AP26" i="28" s="1"/>
  <c r="AR41" i="28"/>
  <c r="BF41" i="28" s="1"/>
  <c r="AO41" i="28"/>
  <c r="AP41" i="28" s="1"/>
  <c r="AR27" i="28"/>
  <c r="BF27" i="28" s="1"/>
  <c r="AO27" i="28"/>
  <c r="AP27" i="28" s="1"/>
  <c r="AP32" i="28"/>
  <c r="BF32" i="28"/>
  <c r="AP18" i="28"/>
  <c r="BF18" i="28"/>
  <c r="AR33" i="21"/>
  <c r="AU33" i="21"/>
  <c r="AR19" i="28"/>
  <c r="AO19" i="28"/>
  <c r="AR33" i="28"/>
  <c r="AO33" i="28"/>
  <c r="W17" i="21"/>
  <c r="AE18" i="21"/>
  <c r="AJ18" i="21" s="1"/>
  <c r="AN32" i="21"/>
  <c r="AQ32" i="21"/>
  <c r="BA32" i="21" s="1"/>
  <c r="AN18" i="28"/>
  <c r="AK18" i="28"/>
  <c r="AL4" i="28"/>
  <c r="AX4" i="28"/>
  <c r="AX32" i="28"/>
  <c r="AY31" i="28" s="1"/>
  <c r="AW31" i="28"/>
  <c r="AD5" i="26"/>
  <c r="AE5" i="26"/>
  <c r="AD6" i="26"/>
  <c r="AE6" i="26"/>
  <c r="AS6" i="26" s="1"/>
  <c r="AD7" i="26"/>
  <c r="AE7" i="26"/>
  <c r="AS7" i="26" s="1"/>
  <c r="Z8" i="26"/>
  <c r="U3" i="26"/>
  <c r="D205" i="30" l="1"/>
  <c r="CH4" i="21"/>
  <c r="AY31" i="29"/>
  <c r="C246" i="30"/>
  <c r="BW3" i="21"/>
  <c r="D209" i="30"/>
  <c r="B63" i="30"/>
  <c r="B110" i="30"/>
  <c r="BY19" i="21"/>
  <c r="AY17" i="21"/>
  <c r="BO17" i="21"/>
  <c r="B202" i="30"/>
  <c r="C202" i="30" s="1"/>
  <c r="CH5" i="21"/>
  <c r="B203" i="30"/>
  <c r="C203" i="30" s="1"/>
  <c r="CH6" i="21"/>
  <c r="C257" i="30"/>
  <c r="AV3" i="31"/>
  <c r="AT18" i="28" a="1"/>
  <c r="AT18" i="28" s="1"/>
  <c r="AL18" i="28"/>
  <c r="BY5" i="21"/>
  <c r="CA3" i="21"/>
  <c r="AS5" i="26"/>
  <c r="B270" i="30"/>
  <c r="C270" i="30" s="1"/>
  <c r="BA19" i="21"/>
  <c r="BC17" i="21"/>
  <c r="BQ19" i="21"/>
  <c r="BS17" i="21"/>
  <c r="D207" i="30"/>
  <c r="D210" i="30"/>
  <c r="BA5" i="21"/>
  <c r="BC3" i="21"/>
  <c r="D201" i="30"/>
  <c r="BI19" i="21"/>
  <c r="B206" i="30"/>
  <c r="C206" i="30" s="1"/>
  <c r="CH9" i="21"/>
  <c r="C208" i="30"/>
  <c r="B26" i="30"/>
  <c r="AO4" i="28"/>
  <c r="AX5" i="29"/>
  <c r="AZ3" i="29"/>
  <c r="D203" i="30"/>
  <c r="B210" i="30"/>
  <c r="C210" i="30" s="1"/>
  <c r="CH13" i="21"/>
  <c r="B209" i="30"/>
  <c r="C209" i="30" s="1"/>
  <c r="CH12" i="21"/>
  <c r="AV3" i="29"/>
  <c r="AT5" i="28"/>
  <c r="AV3" i="28"/>
  <c r="B118" i="30" s="1"/>
  <c r="D208" i="30"/>
  <c r="B149" i="30"/>
  <c r="D202" i="30" s="1"/>
  <c r="AY3" i="21"/>
  <c r="B207" i="30"/>
  <c r="C207" i="30" s="1"/>
  <c r="CH10" i="21"/>
  <c r="AX5" i="28"/>
  <c r="AY3" i="28" s="1"/>
  <c r="B106" i="30" s="1"/>
  <c r="AZ3" i="28"/>
  <c r="B122" i="30" s="1"/>
  <c r="AZ3" i="31"/>
  <c r="C205" i="30"/>
  <c r="B204" i="30"/>
  <c r="C204" i="30" s="1"/>
  <c r="CH7" i="21"/>
  <c r="BO31" i="21"/>
  <c r="AY31" i="21"/>
  <c r="BA33" i="21"/>
  <c r="BC31" i="21"/>
  <c r="BQ33" i="21"/>
  <c r="BS31" i="21"/>
  <c r="BU19" i="21"/>
  <c r="D206" i="30"/>
  <c r="C239" i="30"/>
  <c r="AO6" i="21"/>
  <c r="BA9" i="21"/>
  <c r="AW6" i="21"/>
  <c r="B65" i="30"/>
  <c r="BA6" i="21"/>
  <c r="B151" i="30"/>
  <c r="D204" i="30" s="1"/>
  <c r="AO7" i="21"/>
  <c r="AW7" i="21"/>
  <c r="AO13" i="21"/>
  <c r="B167" i="30"/>
  <c r="E202" i="30" s="1"/>
  <c r="AW10" i="21"/>
  <c r="AW13" i="21"/>
  <c r="AL10" i="28"/>
  <c r="AT6" i="28"/>
  <c r="AW3" i="28"/>
  <c r="B89" i="30" s="1"/>
  <c r="AN13" i="31"/>
  <c r="B67" i="30"/>
  <c r="B70" i="30"/>
  <c r="AO10" i="21"/>
  <c r="B93" i="30"/>
  <c r="AQ6" i="28"/>
  <c r="BJ6" i="28" s="1"/>
  <c r="AQ11" i="28"/>
  <c r="BJ11" i="28" s="1"/>
  <c r="AQ5" i="28"/>
  <c r="BJ5" i="28" s="1"/>
  <c r="C185" i="30"/>
  <c r="AP18" i="21"/>
  <c r="AQ13" i="28"/>
  <c r="BJ13" i="28" s="1"/>
  <c r="AQ12" i="28"/>
  <c r="BJ12" i="28" s="1"/>
  <c r="B91" i="30"/>
  <c r="C91" i="30" s="1"/>
  <c r="AQ7" i="28"/>
  <c r="BJ7" i="28" s="1"/>
  <c r="AQ8" i="28"/>
  <c r="BJ8" i="28" s="1"/>
  <c r="B66" i="30"/>
  <c r="AQ9" i="28"/>
  <c r="BJ9" i="28" s="1"/>
  <c r="AN9" i="31"/>
  <c r="AQ10" i="28"/>
  <c r="BJ10" i="28" s="1"/>
  <c r="AD4" i="26"/>
  <c r="AL11" i="28"/>
  <c r="B68" i="30"/>
  <c r="AR10" i="28"/>
  <c r="BF10" i="28" s="1"/>
  <c r="AL5" i="28"/>
  <c r="AR6" i="28"/>
  <c r="BF6" i="28" s="1"/>
  <c r="AS3" i="28"/>
  <c r="B85" i="30" s="1"/>
  <c r="BA7" i="21"/>
  <c r="AO5" i="21"/>
  <c r="A27" i="30"/>
  <c r="A35" i="30"/>
  <c r="AR26" i="21"/>
  <c r="AR20" i="21"/>
  <c r="AW5" i="21"/>
  <c r="A30" i="30"/>
  <c r="A31" i="30"/>
  <c r="AR27" i="21"/>
  <c r="AR21" i="21"/>
  <c r="A29" i="30"/>
  <c r="A32" i="30"/>
  <c r="A28" i="30"/>
  <c r="A33" i="30"/>
  <c r="AR41" i="21"/>
  <c r="AU37" i="21"/>
  <c r="BI37" i="21" s="1"/>
  <c r="AU35" i="21"/>
  <c r="BI35" i="21" s="1"/>
  <c r="A34" i="30"/>
  <c r="B62" i="30"/>
  <c r="BA10" i="21"/>
  <c r="AR5" i="28"/>
  <c r="AR9" i="28"/>
  <c r="BF9" i="28" s="1"/>
  <c r="AR12" i="28"/>
  <c r="BF12" i="28" s="1"/>
  <c r="AN26" i="29"/>
  <c r="AN23" i="29"/>
  <c r="AN19" i="29"/>
  <c r="AR8" i="28"/>
  <c r="BF8" i="28" s="1"/>
  <c r="AO9" i="28"/>
  <c r="C66" i="30" s="1"/>
  <c r="AT8" i="28"/>
  <c r="AN24" i="29"/>
  <c r="AN34" i="29"/>
  <c r="AO7" i="28"/>
  <c r="C64" i="30" s="1"/>
  <c r="AR7" i="28"/>
  <c r="BF7" i="28" s="1"/>
  <c r="AN33" i="29"/>
  <c r="AN8" i="31"/>
  <c r="AO5" i="28"/>
  <c r="AW3" i="31"/>
  <c r="AR9" i="31"/>
  <c r="BF9" i="31" s="1"/>
  <c r="AP9" i="31"/>
  <c r="AA15" i="26"/>
  <c r="Z15" i="26"/>
  <c r="AX4" i="29"/>
  <c r="AY3" i="29" s="1"/>
  <c r="AW3" i="29"/>
  <c r="AN25" i="29"/>
  <c r="AE17" i="26"/>
  <c r="AU15" i="26" s="1"/>
  <c r="AD17" i="26"/>
  <c r="AN12" i="31"/>
  <c r="AT12" i="31"/>
  <c r="AU3" i="31" s="1"/>
  <c r="AN11" i="29"/>
  <c r="AN4" i="29"/>
  <c r="AT4" i="29"/>
  <c r="AS3" i="29"/>
  <c r="AT5" i="29"/>
  <c r="AN5" i="29"/>
  <c r="AP6" i="31"/>
  <c r="AR6" i="31"/>
  <c r="BF6" i="31" s="1"/>
  <c r="AP10" i="31"/>
  <c r="AR10" i="31"/>
  <c r="BF10" i="31" s="1"/>
  <c r="AG4" i="29"/>
  <c r="AA3" i="29"/>
  <c r="AG3" i="29" s="1"/>
  <c r="AN21" i="29"/>
  <c r="AR10" i="29"/>
  <c r="BF10" i="29" s="1"/>
  <c r="AP10" i="29"/>
  <c r="AN10" i="29"/>
  <c r="AT10" i="29"/>
  <c r="AW17" i="29"/>
  <c r="AX18" i="29"/>
  <c r="AY17" i="29" s="1"/>
  <c r="AP5" i="29"/>
  <c r="AR5" i="29"/>
  <c r="AR8" i="31"/>
  <c r="BF8" i="31" s="1"/>
  <c r="AP8" i="31"/>
  <c r="AR11" i="28"/>
  <c r="BF11" i="28" s="1"/>
  <c r="AT13" i="29"/>
  <c r="AN13" i="29"/>
  <c r="AR5" i="31"/>
  <c r="AP5" i="31"/>
  <c r="AG4" i="21"/>
  <c r="AL4" i="21" s="1"/>
  <c r="A26" i="30" s="1"/>
  <c r="AO8" i="28"/>
  <c r="C65" i="30" s="1"/>
  <c r="AO12" i="28"/>
  <c r="C69" i="30" s="1"/>
  <c r="AS3" i="31"/>
  <c r="AN11" i="31"/>
  <c r="BA12" i="21"/>
  <c r="AP19" i="29"/>
  <c r="BD17" i="29" s="1"/>
  <c r="AR19" i="29"/>
  <c r="BH17" i="29" s="1"/>
  <c r="AP7" i="31"/>
  <c r="AR7" i="31"/>
  <c r="BF7" i="31" s="1"/>
  <c r="AN36" i="29"/>
  <c r="AN18" i="29"/>
  <c r="AT18" i="29" a="1"/>
  <c r="AT18" i="29" s="1"/>
  <c r="AU17" i="29" s="1"/>
  <c r="AN6" i="29"/>
  <c r="AT6" i="29"/>
  <c r="AT12" i="29"/>
  <c r="AN12" i="29"/>
  <c r="AP13" i="29"/>
  <c r="AR13" i="29"/>
  <c r="BF13" i="29" s="1"/>
  <c r="AN37" i="29"/>
  <c r="AL9" i="28"/>
  <c r="AT9" i="28"/>
  <c r="AR33" i="31"/>
  <c r="BH31" i="31" s="1"/>
  <c r="AP33" i="31"/>
  <c r="BD31" i="31" s="1"/>
  <c r="AR9" i="29"/>
  <c r="BF9" i="29" s="1"/>
  <c r="AP9" i="29"/>
  <c r="AP12" i="31"/>
  <c r="AR12" i="31"/>
  <c r="BF12" i="31" s="1"/>
  <c r="Z3" i="21"/>
  <c r="AH3" i="21" s="1"/>
  <c r="AO12" i="21"/>
  <c r="AN35" i="29"/>
  <c r="AT9" i="29"/>
  <c r="AN9" i="29"/>
  <c r="AT7" i="29"/>
  <c r="AN7" i="29"/>
  <c r="AR11" i="29"/>
  <c r="BF11" i="29" s="1"/>
  <c r="AP11" i="29"/>
  <c r="AN40" i="29"/>
  <c r="AN32" i="29"/>
  <c r="AO11" i="28"/>
  <c r="C68" i="30" s="1"/>
  <c r="AL32" i="28"/>
  <c r="AO13" i="28"/>
  <c r="C70" i="30" s="1"/>
  <c r="AR13" i="28"/>
  <c r="BF13" i="28" s="1"/>
  <c r="B120" i="30"/>
  <c r="AY3" i="31"/>
  <c r="AR11" i="31"/>
  <c r="BF11" i="31" s="1"/>
  <c r="AP11" i="31"/>
  <c r="AP8" i="29"/>
  <c r="AR8" i="29"/>
  <c r="BF8" i="29" s="1"/>
  <c r="AN41" i="29"/>
  <c r="AR7" i="29"/>
  <c r="BF7" i="29" s="1"/>
  <c r="AP7" i="29"/>
  <c r="AL13" i="28"/>
  <c r="AT13" i="28"/>
  <c r="CG4" i="21"/>
  <c r="BX3" i="21" s="1"/>
  <c r="AN39" i="29"/>
  <c r="AP6" i="29"/>
  <c r="AR6" i="29"/>
  <c r="BF6" i="29" s="1"/>
  <c r="AR33" i="29"/>
  <c r="BH31" i="29" s="1"/>
  <c r="AP33" i="29"/>
  <c r="BD31" i="29" s="1"/>
  <c r="AU7" i="21"/>
  <c r="BI7" i="21" s="1"/>
  <c r="AO6" i="28"/>
  <c r="C63" i="30" s="1"/>
  <c r="AO10" i="28"/>
  <c r="C67" i="30" s="1"/>
  <c r="AT8" i="29"/>
  <c r="AN8" i="29"/>
  <c r="AN10" i="31"/>
  <c r="AP12" i="29"/>
  <c r="AR12" i="29"/>
  <c r="BF12" i="29" s="1"/>
  <c r="AN27" i="29"/>
  <c r="AN20" i="29"/>
  <c r="AN38" i="29"/>
  <c r="AP13" i="31"/>
  <c r="AR13" i="31"/>
  <c r="BF13" i="31" s="1"/>
  <c r="AA3" i="31"/>
  <c r="AG3" i="31" s="1"/>
  <c r="AG4" i="31"/>
  <c r="AP19" i="31"/>
  <c r="BD17" i="31" s="1"/>
  <c r="AR19" i="31"/>
  <c r="BH17" i="31" s="1"/>
  <c r="AZ3" i="21"/>
  <c r="B87" i="30" s="1"/>
  <c r="C87" i="30" s="1"/>
  <c r="AV3" i="21"/>
  <c r="B83" i="30" s="1"/>
  <c r="B116" i="30"/>
  <c r="C116" i="30" s="1"/>
  <c r="AW12" i="21"/>
  <c r="B69" i="30"/>
  <c r="AU6" i="21"/>
  <c r="BI6" i="21" s="1"/>
  <c r="AU40" i="21"/>
  <c r="BI40" i="21" s="1"/>
  <c r="AU41" i="21"/>
  <c r="BI41" i="21" s="1"/>
  <c r="AR37" i="21"/>
  <c r="AR35" i="21"/>
  <c r="AR11" i="21"/>
  <c r="A68" i="30" s="1"/>
  <c r="AU39" i="21"/>
  <c r="BI39" i="21" s="1"/>
  <c r="AR38" i="21"/>
  <c r="AU12" i="21"/>
  <c r="BI12" i="21" s="1"/>
  <c r="AR39" i="21"/>
  <c r="BL31" i="21"/>
  <c r="AU8" i="21"/>
  <c r="BI8" i="21" s="1"/>
  <c r="AR40" i="21"/>
  <c r="AR8" i="21"/>
  <c r="A65" i="30" s="1"/>
  <c r="AR25" i="21"/>
  <c r="AU38" i="21"/>
  <c r="BI38" i="21" s="1"/>
  <c r="AR7" i="21"/>
  <c r="A64" i="30" s="1"/>
  <c r="AW32" i="21" a="1"/>
  <c r="AW32" i="21" s="1"/>
  <c r="AR22" i="21"/>
  <c r="AU9" i="21"/>
  <c r="BI9" i="21" s="1"/>
  <c r="AR9" i="21"/>
  <c r="A66" i="30" s="1"/>
  <c r="AR23" i="21"/>
  <c r="AU36" i="21"/>
  <c r="BI36" i="21" s="1"/>
  <c r="BP31" i="21"/>
  <c r="AR24" i="21"/>
  <c r="AR36" i="21"/>
  <c r="AU20" i="21"/>
  <c r="BI20" i="21" s="1"/>
  <c r="BM23" i="21"/>
  <c r="CC23" i="21"/>
  <c r="AR12" i="21"/>
  <c r="A69" i="30" s="1"/>
  <c r="AU11" i="21"/>
  <c r="BI11" i="21" s="1"/>
  <c r="BM20" i="21"/>
  <c r="CC20" i="21"/>
  <c r="BM25" i="21"/>
  <c r="CC25" i="21"/>
  <c r="CC24" i="21"/>
  <c r="BM24" i="21"/>
  <c r="BM27" i="21"/>
  <c r="CC27" i="21"/>
  <c r="CC26" i="21"/>
  <c r="BM26" i="21"/>
  <c r="BR31" i="21"/>
  <c r="CC22" i="21"/>
  <c r="BM22" i="21"/>
  <c r="AU5" i="21"/>
  <c r="AU13" i="21"/>
  <c r="BI13" i="21" s="1"/>
  <c r="AR5" i="21"/>
  <c r="AR13" i="21"/>
  <c r="A70" i="30" s="1"/>
  <c r="AU10" i="21"/>
  <c r="BI10" i="21" s="1"/>
  <c r="CC19" i="21"/>
  <c r="BM19" i="21"/>
  <c r="AR6" i="21"/>
  <c r="A63" i="30" s="1"/>
  <c r="AR10" i="21"/>
  <c r="A67" i="30" s="1"/>
  <c r="AU27" i="21"/>
  <c r="BI27" i="21" s="1"/>
  <c r="AU26" i="21"/>
  <c r="BI26" i="21" s="1"/>
  <c r="AU25" i="21"/>
  <c r="BI25" i="21" s="1"/>
  <c r="AU24" i="21"/>
  <c r="BI24" i="21" s="1"/>
  <c r="AU23" i="21"/>
  <c r="BI23" i="21" s="1"/>
  <c r="AU22" i="21"/>
  <c r="BI22" i="21" s="1"/>
  <c r="AU21" i="21"/>
  <c r="BI21" i="21" s="1"/>
  <c r="AE8" i="26"/>
  <c r="AS8" i="26" s="1"/>
  <c r="AT3" i="26" s="1"/>
  <c r="AD8" i="26"/>
  <c r="AK4" i="26" s="1" a="1"/>
  <c r="AK4" i="26" s="1"/>
  <c r="AL3" i="26" s="1"/>
  <c r="B256" i="30" s="1"/>
  <c r="C256" i="30" s="1"/>
  <c r="AE17" i="21"/>
  <c r="AF17" i="21"/>
  <c r="CC21" i="21"/>
  <c r="BM21" i="21"/>
  <c r="CC33" i="21"/>
  <c r="BM33" i="21"/>
  <c r="CC34" i="21"/>
  <c r="BM34" i="21"/>
  <c r="CC35" i="21"/>
  <c r="BM35" i="21"/>
  <c r="CC36" i="21"/>
  <c r="BM36" i="21"/>
  <c r="CC37" i="21"/>
  <c r="BM37" i="21"/>
  <c r="CC38" i="21"/>
  <c r="BM38" i="21"/>
  <c r="CC39" i="21"/>
  <c r="BM39" i="21"/>
  <c r="CC40" i="21"/>
  <c r="BM40" i="21"/>
  <c r="CC41" i="21"/>
  <c r="BM41" i="21"/>
  <c r="BM18" i="21"/>
  <c r="CC18" i="21"/>
  <c r="BL17" i="21"/>
  <c r="BQ18" i="21"/>
  <c r="BR17" i="21" s="1"/>
  <c r="BP17" i="21"/>
  <c r="Z3" i="26"/>
  <c r="AA3" i="26"/>
  <c r="AG31" i="21"/>
  <c r="AH31" i="21"/>
  <c r="CG27" i="21"/>
  <c r="BY27" i="21" s="1"/>
  <c r="CE27" i="21"/>
  <c r="CG41" i="21"/>
  <c r="BY41" i="21" s="1"/>
  <c r="CE41" i="21"/>
  <c r="CG26" i="21"/>
  <c r="BY26" i="21" s="1"/>
  <c r="CE26" i="21"/>
  <c r="CG40" i="21"/>
  <c r="BY40" i="21" s="1"/>
  <c r="CE40" i="21"/>
  <c r="CG25" i="21"/>
  <c r="BY25" i="21" s="1"/>
  <c r="CE25" i="21"/>
  <c r="CG39" i="21"/>
  <c r="BY39" i="21" s="1"/>
  <c r="CE39" i="21"/>
  <c r="CG24" i="21"/>
  <c r="BY24" i="21" s="1"/>
  <c r="CE24" i="21"/>
  <c r="CG38" i="21"/>
  <c r="BY38" i="21" s="1"/>
  <c r="CE38" i="21"/>
  <c r="CG23" i="21"/>
  <c r="BY23" i="21" s="1"/>
  <c r="CE23" i="21"/>
  <c r="CG37" i="21"/>
  <c r="BY37" i="21" s="1"/>
  <c r="CE37" i="21"/>
  <c r="CG22" i="21"/>
  <c r="BY22" i="21" s="1"/>
  <c r="CE22" i="21"/>
  <c r="CG36" i="21"/>
  <c r="BY36" i="21" s="1"/>
  <c r="CE36" i="21"/>
  <c r="CG21" i="21"/>
  <c r="BY21" i="21" s="1"/>
  <c r="CE21" i="21"/>
  <c r="CG35" i="21"/>
  <c r="CE35" i="21"/>
  <c r="CG20" i="21"/>
  <c r="CE20" i="21"/>
  <c r="CF34" i="21"/>
  <c r="BU34" i="21"/>
  <c r="BU4" i="21"/>
  <c r="BT3" i="21"/>
  <c r="CF4" i="21"/>
  <c r="CF18" i="21"/>
  <c r="CF32" i="21"/>
  <c r="CF19" i="21"/>
  <c r="BU5" i="21"/>
  <c r="CF5" i="21"/>
  <c r="BU6" i="21"/>
  <c r="CF6" i="21"/>
  <c r="BU7" i="21"/>
  <c r="CF7" i="21"/>
  <c r="BU8" i="21"/>
  <c r="CF8" i="21"/>
  <c r="BU9" i="21"/>
  <c r="CF9" i="21"/>
  <c r="BU10" i="21"/>
  <c r="CF10" i="21"/>
  <c r="BU11" i="21"/>
  <c r="CF11" i="21"/>
  <c r="BU12" i="21"/>
  <c r="CF12" i="21"/>
  <c r="BU13" i="21"/>
  <c r="CF13" i="21"/>
  <c r="AL41" i="28"/>
  <c r="AL40" i="28"/>
  <c r="AL39" i="28"/>
  <c r="AL38" i="28"/>
  <c r="AL37" i="28"/>
  <c r="AL36" i="28"/>
  <c r="AL35" i="28"/>
  <c r="AL34" i="28"/>
  <c r="AL33" i="28"/>
  <c r="AL19" i="28"/>
  <c r="AL20" i="28"/>
  <c r="AL21" i="28"/>
  <c r="AL22" i="28"/>
  <c r="AL23" i="28"/>
  <c r="AL24" i="28"/>
  <c r="AL25" i="28"/>
  <c r="AL26" i="28"/>
  <c r="AL27" i="28"/>
  <c r="AX18" i="28"/>
  <c r="AY17" i="28" s="1"/>
  <c r="AW17" i="28"/>
  <c r="BB31" i="21"/>
  <c r="AZ31" i="21"/>
  <c r="AN18" i="21"/>
  <c r="AW18" i="21" s="1" a="1"/>
  <c r="AW18" i="21" s="1"/>
  <c r="AX17" i="21" s="1"/>
  <c r="C134" i="30" s="1"/>
  <c r="AQ18" i="21"/>
  <c r="AP33" i="28"/>
  <c r="BF33" i="28"/>
  <c r="AP19" i="28"/>
  <c r="BF19" i="28"/>
  <c r="BI33" i="21"/>
  <c r="AA3" i="28"/>
  <c r="AG3" i="28" s="1"/>
  <c r="AR34" i="21"/>
  <c r="AU34" i="21"/>
  <c r="AR20" i="28"/>
  <c r="BH17" i="28" s="1"/>
  <c r="AO20" i="28"/>
  <c r="BB18" i="28" s="1" a="1"/>
  <c r="BB18" i="28" s="1"/>
  <c r="AR34" i="28"/>
  <c r="BH31" i="28" s="1"/>
  <c r="AO34" i="28"/>
  <c r="BB32" i="28" s="1" a="1"/>
  <c r="BB32" i="28" s="1"/>
  <c r="BG31" i="21" l="1"/>
  <c r="CA17" i="21"/>
  <c r="BW31" i="21"/>
  <c r="BK31" i="21"/>
  <c r="BG17" i="21"/>
  <c r="BW17" i="21"/>
  <c r="CA31" i="21"/>
  <c r="B108" i="30"/>
  <c r="C108" i="30" s="1"/>
  <c r="B272" i="30"/>
  <c r="C272" i="30" s="1"/>
  <c r="AM15" i="26"/>
  <c r="BD17" i="28"/>
  <c r="A62" i="30"/>
  <c r="BG3" i="21"/>
  <c r="B117" i="30" s="1"/>
  <c r="BF5" i="29"/>
  <c r="BH3" i="29"/>
  <c r="BF5" i="28"/>
  <c r="BH3" i="28"/>
  <c r="AM3" i="26"/>
  <c r="BD3" i="29"/>
  <c r="B5" i="30"/>
  <c r="B79" i="30"/>
  <c r="C79" i="30" s="1"/>
  <c r="BD3" i="31"/>
  <c r="C62" i="30"/>
  <c r="BD3" i="28"/>
  <c r="B119" i="30" s="1"/>
  <c r="BI5" i="21"/>
  <c r="BK3" i="21"/>
  <c r="BF5" i="31"/>
  <c r="BH3" i="31"/>
  <c r="BK17" i="21"/>
  <c r="AU3" i="26"/>
  <c r="B277" i="30" s="1"/>
  <c r="B17" i="30"/>
  <c r="B80" i="30"/>
  <c r="C80" i="30" s="1"/>
  <c r="BD31" i="28"/>
  <c r="C83" i="30"/>
  <c r="C122" i="30"/>
  <c r="BE11" i="21"/>
  <c r="AX3" i="21"/>
  <c r="C130" i="30" s="1"/>
  <c r="BB3" i="21"/>
  <c r="B104" i="30" s="1"/>
  <c r="C106" i="30" s="1"/>
  <c r="AT4" i="21"/>
  <c r="AR4" i="21"/>
  <c r="AS13" i="21" s="1"/>
  <c r="C93" i="30"/>
  <c r="C118" i="30"/>
  <c r="C85" i="30"/>
  <c r="AG3" i="21"/>
  <c r="BY4" i="21"/>
  <c r="BZ3" i="21" s="1"/>
  <c r="AU4" i="21"/>
  <c r="BI4" i="21" s="1"/>
  <c r="B15" i="30"/>
  <c r="C89" i="30"/>
  <c r="AS31" i="29"/>
  <c r="C120" i="30"/>
  <c r="AU3" i="28"/>
  <c r="B102" i="30" s="1"/>
  <c r="AK4" i="31"/>
  <c r="AL4" i="31"/>
  <c r="AQ33" i="31"/>
  <c r="BA31" i="31" s="1"/>
  <c r="BB32" i="31" a="1"/>
  <c r="BB32" i="31" s="1"/>
  <c r="BC31" i="31" s="1"/>
  <c r="BF33" i="31"/>
  <c r="BG31" i="31" s="1"/>
  <c r="BE31" i="31"/>
  <c r="BF19" i="29"/>
  <c r="BG17" i="29" s="1"/>
  <c r="BE17" i="29"/>
  <c r="BB18" i="31" a="1"/>
  <c r="BB18" i="31" s="1"/>
  <c r="BC17" i="31" s="1"/>
  <c r="AQ19" i="31"/>
  <c r="BA17" i="31" s="1"/>
  <c r="AJ3" i="26"/>
  <c r="B238" i="30" s="1"/>
  <c r="C238" i="30" s="1"/>
  <c r="AQ33" i="29"/>
  <c r="BA31" i="29" s="1"/>
  <c r="BB32" i="29" a="1"/>
  <c r="BB32" i="29" s="1"/>
  <c r="BC31" i="29" s="1"/>
  <c r="AQ19" i="29"/>
  <c r="BA17" i="29" s="1"/>
  <c r="BB18" i="29" a="1"/>
  <c r="BB18" i="29" s="1"/>
  <c r="BC17" i="29" s="1"/>
  <c r="AK17" i="26"/>
  <c r="AL15" i="26" s="1"/>
  <c r="B258" i="30" s="1"/>
  <c r="C258" i="30" s="1"/>
  <c r="AJ15" i="26"/>
  <c r="B240" i="30" s="1"/>
  <c r="C240" i="30" s="1"/>
  <c r="AR3" i="26"/>
  <c r="B245" i="30" s="1"/>
  <c r="C245" i="30" s="1"/>
  <c r="BF33" i="29"/>
  <c r="BG31" i="29" s="1"/>
  <c r="BE31" i="29"/>
  <c r="B3" i="30"/>
  <c r="AS17" i="29"/>
  <c r="AL4" i="29"/>
  <c r="AK4" i="29"/>
  <c r="AS17" i="26"/>
  <c r="AT15" i="26" s="1"/>
  <c r="B276" i="30"/>
  <c r="AR15" i="26"/>
  <c r="B244" i="30" s="1"/>
  <c r="C244" i="30" s="1"/>
  <c r="AU3" i="29"/>
  <c r="BF19" i="31"/>
  <c r="BG17" i="31" s="1"/>
  <c r="BE17" i="31"/>
  <c r="BE10" i="21"/>
  <c r="BE8" i="21"/>
  <c r="BE5" i="21"/>
  <c r="B100" i="30"/>
  <c r="AS8" i="21"/>
  <c r="BE7" i="21"/>
  <c r="BE13" i="21"/>
  <c r="BE9" i="21"/>
  <c r="BE6" i="21"/>
  <c r="BE12" i="21"/>
  <c r="AS12" i="21"/>
  <c r="BN17" i="21"/>
  <c r="BE32" i="21" a="1"/>
  <c r="BE32" i="21" s="1"/>
  <c r="BN31" i="21"/>
  <c r="BV3" i="21"/>
  <c r="CF20" i="21"/>
  <c r="BU20" i="21"/>
  <c r="BT17" i="21"/>
  <c r="BY20" i="21"/>
  <c r="BZ17" i="21" s="1"/>
  <c r="BX17" i="21"/>
  <c r="CF35" i="21"/>
  <c r="BU35" i="21"/>
  <c r="BT31" i="21"/>
  <c r="BY35" i="21"/>
  <c r="BZ31" i="21" s="1"/>
  <c r="BX31" i="21"/>
  <c r="CF21" i="21"/>
  <c r="BU21" i="21"/>
  <c r="CF36" i="21"/>
  <c r="BU36" i="21"/>
  <c r="CF22" i="21"/>
  <c r="BU22" i="21"/>
  <c r="CF37" i="21"/>
  <c r="BU37" i="21"/>
  <c r="CF23" i="21"/>
  <c r="BU23" i="21"/>
  <c r="CF38" i="21"/>
  <c r="BU38" i="21"/>
  <c r="CF24" i="21"/>
  <c r="BU24" i="21"/>
  <c r="CF39" i="21"/>
  <c r="BU39" i="21"/>
  <c r="CF25" i="21"/>
  <c r="BU25" i="21"/>
  <c r="CF40" i="21"/>
  <c r="BU40" i="21"/>
  <c r="CF26" i="21"/>
  <c r="BU26" i="21"/>
  <c r="CF41" i="21"/>
  <c r="BU41" i="21"/>
  <c r="CF27" i="21"/>
  <c r="BU27" i="21"/>
  <c r="AP34" i="28"/>
  <c r="BF34" i="28"/>
  <c r="BG31" i="28" s="1"/>
  <c r="BE31" i="28"/>
  <c r="AP20" i="28"/>
  <c r="BF20" i="28"/>
  <c r="BG17" i="28" s="1"/>
  <c r="BE17" i="28"/>
  <c r="BI34" i="21"/>
  <c r="BJ31" i="21" s="1"/>
  <c r="BH31" i="21"/>
  <c r="AZ17" i="21"/>
  <c r="BA18" i="21"/>
  <c r="BB17" i="21" s="1"/>
  <c r="AO41" i="21"/>
  <c r="AO40" i="21"/>
  <c r="AO39" i="21"/>
  <c r="AO38" i="21"/>
  <c r="AO37" i="21"/>
  <c r="AO36" i="21"/>
  <c r="AO35" i="21"/>
  <c r="AO34" i="21"/>
  <c r="AO33" i="21"/>
  <c r="AO32" i="21"/>
  <c r="AU31" i="28"/>
  <c r="C140" i="30" s="1"/>
  <c r="AS31" i="28"/>
  <c r="AU17" i="28"/>
  <c r="C136" i="30" s="1"/>
  <c r="AS17" i="28"/>
  <c r="Z17" i="21"/>
  <c r="AG18" i="21"/>
  <c r="AL18" i="21" s="1"/>
  <c r="AT18" i="21" s="1"/>
  <c r="BE4" i="21" l="1"/>
  <c r="C104" i="30"/>
  <c r="C110" i="30"/>
  <c r="B92" i="30"/>
  <c r="C92" i="30" s="1"/>
  <c r="CI4" i="21"/>
  <c r="B109" i="30" s="1"/>
  <c r="C109" i="30" s="1"/>
  <c r="A61" i="30"/>
  <c r="D134" i="30"/>
  <c r="C100" i="30"/>
  <c r="AS4" i="21"/>
  <c r="B121" i="30"/>
  <c r="C121" i="30" s="1"/>
  <c r="C117" i="30"/>
  <c r="AQ4" i="28"/>
  <c r="C61" i="30"/>
  <c r="AS10" i="21"/>
  <c r="AS9" i="21"/>
  <c r="BH3" i="21"/>
  <c r="B88" i="30" s="1"/>
  <c r="C88" i="30" s="1"/>
  <c r="AS7" i="21"/>
  <c r="AS6" i="21"/>
  <c r="BD3" i="21"/>
  <c r="B84" i="30" s="1"/>
  <c r="C84" i="30" s="1"/>
  <c r="AS11" i="21"/>
  <c r="AS5" i="21"/>
  <c r="C15" i="30"/>
  <c r="C132" i="30"/>
  <c r="D132" i="30" s="1"/>
  <c r="D130" i="30"/>
  <c r="C3" i="30"/>
  <c r="C17" i="30"/>
  <c r="AR4" i="28"/>
  <c r="BE3" i="28" s="1"/>
  <c r="B90" i="30" s="1"/>
  <c r="C90" i="30" s="1"/>
  <c r="C5" i="30"/>
  <c r="AP4" i="29"/>
  <c r="AR4" i="29"/>
  <c r="AR4" i="31"/>
  <c r="AP4" i="31"/>
  <c r="D136" i="30"/>
  <c r="D140" i="30"/>
  <c r="C102" i="30"/>
  <c r="BF3" i="21"/>
  <c r="AG17" i="21"/>
  <c r="AH17" i="21"/>
  <c r="BV31" i="21"/>
  <c r="BV17" i="21"/>
  <c r="BJ3" i="21"/>
  <c r="B105" i="30" s="1"/>
  <c r="C105" i="30" s="1"/>
  <c r="AX31" i="21"/>
  <c r="C138" i="30" s="1"/>
  <c r="D138" i="30" s="1"/>
  <c r="AV31" i="21"/>
  <c r="BC17" i="28"/>
  <c r="C137" i="30" s="1"/>
  <c r="D137" i="30" s="1"/>
  <c r="BA17" i="28"/>
  <c r="BC31" i="28"/>
  <c r="C141" i="30" s="1"/>
  <c r="D141" i="30" s="1"/>
  <c r="BA31" i="28"/>
  <c r="AR18" i="21"/>
  <c r="BE18" i="21" s="1" a="1"/>
  <c r="BE18" i="21" s="1"/>
  <c r="AU18" i="21"/>
  <c r="BI18" i="21" s="1"/>
  <c r="AO18" i="21"/>
  <c r="AO19" i="21"/>
  <c r="AO20" i="21"/>
  <c r="AO21" i="21"/>
  <c r="AO22" i="21"/>
  <c r="AO23" i="21"/>
  <c r="AO24" i="21"/>
  <c r="AO25" i="21"/>
  <c r="AO26" i="21"/>
  <c r="AO27" i="21"/>
  <c r="B94" i="30" l="1"/>
  <c r="C94" i="30" s="1"/>
  <c r="BJ4" i="28"/>
  <c r="B111" i="30" s="1"/>
  <c r="C111" i="30" s="1"/>
  <c r="BF4" i="28"/>
  <c r="BG3" i="28" s="1"/>
  <c r="B107" i="30" s="1"/>
  <c r="C107" i="30" s="1"/>
  <c r="B16" i="30"/>
  <c r="C16" i="30" s="1"/>
  <c r="B4" i="30"/>
  <c r="C4" i="30" s="1"/>
  <c r="B123" i="30"/>
  <c r="C123" i="30" s="1"/>
  <c r="BB4" i="28" a="1"/>
  <c r="BB4" i="28" s="1"/>
  <c r="BC3" i="28" s="1"/>
  <c r="AP10" i="28"/>
  <c r="AP9" i="28"/>
  <c r="AQ9" i="29"/>
  <c r="BA3" i="29"/>
  <c r="AQ4" i="29"/>
  <c r="BB4" i="29" a="1"/>
  <c r="BB4" i="29" s="1"/>
  <c r="BC3" i="29" s="1"/>
  <c r="AQ10" i="29"/>
  <c r="AQ8" i="29"/>
  <c r="AQ6" i="29"/>
  <c r="AQ12" i="29"/>
  <c r="AQ13" i="29"/>
  <c r="AQ11" i="29"/>
  <c r="AQ7" i="29"/>
  <c r="AQ5" i="29"/>
  <c r="BF4" i="29"/>
  <c r="BG3" i="29" s="1"/>
  <c r="BE3" i="29"/>
  <c r="AP13" i="28"/>
  <c r="AP5" i="28"/>
  <c r="AP12" i="28"/>
  <c r="C119" i="30"/>
  <c r="AP8" i="28"/>
  <c r="AQ10" i="31"/>
  <c r="BB4" i="31" a="1"/>
  <c r="BB4" i="31" s="1"/>
  <c r="BC3" i="31" s="1"/>
  <c r="AQ4" i="31"/>
  <c r="BA3" i="31"/>
  <c r="AQ5" i="31"/>
  <c r="AQ8" i="31"/>
  <c r="AQ6" i="31"/>
  <c r="AQ11" i="31"/>
  <c r="AQ9" i="31"/>
  <c r="AQ12" i="31"/>
  <c r="AQ13" i="31"/>
  <c r="AQ7" i="31"/>
  <c r="AP7" i="28"/>
  <c r="BE3" i="31"/>
  <c r="BF4" i="31"/>
  <c r="BG3" i="31" s="1"/>
  <c r="AP6" i="28"/>
  <c r="AP11" i="28"/>
  <c r="AP4" i="28"/>
  <c r="BA3" i="28"/>
  <c r="B86" i="30" s="1"/>
  <c r="C86" i="30" s="1"/>
  <c r="AS26" i="21"/>
  <c r="AS27" i="21"/>
  <c r="B101" i="30"/>
  <c r="C101" i="30" s="1"/>
  <c r="C131" i="30"/>
  <c r="D131" i="30" s="1"/>
  <c r="AS19" i="21"/>
  <c r="AS36" i="21"/>
  <c r="AS37" i="21"/>
  <c r="AS38" i="21"/>
  <c r="AS39" i="21"/>
  <c r="AS22" i="21"/>
  <c r="AS25" i="21"/>
  <c r="AS24" i="21"/>
  <c r="AS32" i="21"/>
  <c r="AS40" i="21"/>
  <c r="AS41" i="21"/>
  <c r="AS34" i="21"/>
  <c r="AS23" i="21"/>
  <c r="AS33" i="21"/>
  <c r="AS21" i="21"/>
  <c r="AS18" i="21"/>
  <c r="AS20" i="21"/>
  <c r="AS35" i="21"/>
  <c r="BJ17" i="21"/>
  <c r="BH17" i="21"/>
  <c r="AV17" i="21"/>
  <c r="BF31" i="21"/>
  <c r="C139" i="30" s="1"/>
  <c r="D139" i="30" s="1"/>
  <c r="BF17" i="21"/>
  <c r="C135" i="30" s="1"/>
  <c r="D135" i="30" s="1"/>
  <c r="B6" i="30" l="1"/>
  <c r="C6" i="30" s="1"/>
  <c r="B81" i="30"/>
  <c r="C81" i="30" s="1"/>
  <c r="B18" i="30"/>
  <c r="C18" i="30" s="1"/>
  <c r="B82" i="30"/>
  <c r="C82" i="30" s="1"/>
  <c r="C133" i="30"/>
  <c r="D133" i="30" s="1"/>
  <c r="B103" i="30"/>
  <c r="C103" i="30" s="1"/>
  <c r="BD31" i="21"/>
  <c r="BD17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<sst xmlns="http://schemas.openxmlformats.org/spreadsheetml/2006/main" count="1425" uniqueCount="251">
  <si>
    <t>https://www.stats.govt.nz/news/annual-inflation-at-2-7-percent-in-june-2025/</t>
  </si>
  <si>
    <t>https://www.stats.govt.nz/news/income-growth-for-wage-and-salary-earners-remains-strong/</t>
  </si>
  <si>
    <t>https://www.workandincome.govt.nz/map/deskfile/nz-superannuation-and-veterans-pension-tables/new-zealand-superannuation-and-veterans-pension-ra.html</t>
  </si>
  <si>
    <t>Parameter</t>
  </si>
  <si>
    <t>FY 24/25 Value</t>
  </si>
  <si>
    <t>Notes</t>
  </si>
  <si>
    <t>Sources</t>
  </si>
  <si>
    <t>EmploymentRate_WorkingAge</t>
  </si>
  <si>
    <t>fraction of 15–64 employed</t>
  </si>
  <si>
    <t>https://infoshare.stats.govt.nz/ViewTable.aspx?pxID=a16e84d4-00a9-41d6-8a4a-8bf771bd2d2d</t>
  </si>
  <si>
    <t>Labour Force Status for people aged 15 to 64 years (Annual-Mar) | Employment rate | 2025</t>
  </si>
  <si>
    <t>EmploymentRate_65Plus</t>
  </si>
  <si>
    <t>fraction of 65+ employed</t>
  </si>
  <si>
    <t>https://infoshare.stats.govt.nz/SelectVariables.aspx?pxID=a3faf5f4-e39a-4dbb-be8e-f81723992bcb</t>
  </si>
  <si>
    <t>Table: Labour Force Status by Sex by Age Group (Annual-Mar) | Total Both Sexes | Aged 65 years and over | Employment rate | 2025</t>
  </si>
  <si>
    <t>NZS_Annual single</t>
  </si>
  <si>
    <t>net annual NZS per person</t>
  </si>
  <si>
    <t>NZS_annual couple</t>
  </si>
  <si>
    <t>net annual NZS per person (half couple's rate)</t>
  </si>
  <si>
    <t>Average inflation</t>
  </si>
  <si>
    <t>average 2005-2025</t>
  </si>
  <si>
    <t>Average real wage growth</t>
  </si>
  <si>
    <t>average 1999-2023</t>
  </si>
  <si>
    <t>Ratio 65+ pop partnered</t>
  </si>
  <si>
    <t>https://explore.data.stats.govt.nz/vis?tm=relationship&amp;pg=0&amp;snb=14&amp;df%5bds%5d=ds-nsiws-disseminate&amp;df%5bid%5d=CEN23_POP_008&amp;df%5bag%5d=STATSNZ&amp;df%5bvs%5d=1.0&amp;dq=2013%2B2018%2B2023.9999%2B99999%2B999999.99...99&amp;to%5bTIME%5d=false</t>
  </si>
  <si>
    <t>Ratio 65+ pop single</t>
  </si>
  <si>
    <t>Income from wealth</t>
  </si>
  <si>
    <t>Parameters by Income Decile</t>
  </si>
  <si>
    <t>Base year total income</t>
  </si>
  <si>
    <t>Revenue share BAU</t>
  </si>
  <si>
    <t>Revenue share progressive</t>
  </si>
  <si>
    <t>Share of employed 65+ population</t>
  </si>
  <si>
    <t>Weights for share of employed 65+ population</t>
  </si>
  <si>
    <t>Parameters by Wealth Quintile</t>
  </si>
  <si>
    <t>Total Wealth</t>
  </si>
  <si>
    <t>Value of owner-occupied dwelings</t>
  </si>
  <si>
    <t>Adjusted for negative values+ housing value</t>
  </si>
  <si>
    <t>Weighting of 65+ population</t>
  </si>
  <si>
    <t>Share of 65+ population</t>
  </si>
  <si>
    <t>Year</t>
  </si>
  <si>
    <t>65+</t>
  </si>
  <si>
    <t>15-64</t>
  </si>
  <si>
    <t>working age scaling factor from base year</t>
  </si>
  <si>
    <t>https://explore.data.stats.govt.nz/vis?fs[0]=Society%2C1%7CPopulation%20projections%23CAT_POPULATION_PROJECTIONS%23%7CNational%20population%20projections%23CAT_NATIONAL_POPULATION_PROJECTIONS%23&amp;pg=0&amp;fc=Society&amp;bp=true&amp;snb=9&amp;df[ds]=ds-nsiws-disseminate&amp;df[id]=POPPR_NAT_007&amp;df[ag]=STATSNZ&amp;df[vs]=1.0&amp;dq=.2025%2B2040%2B2060%2B2078.SEX3.AGE6500%2BAGE4064%2BAGE1539%2BTOTALALLAGES&amp;ly[rw]=YEAR_POPPR_NAT_007&amp;ly[cl]=SCENARIO_POPPR_NAT_007&amp;to[TIME]=false</t>
  </si>
  <si>
    <t>Based on Median projections</t>
  </si>
  <si>
    <t>Dependency ratios</t>
  </si>
  <si>
    <t>Quintile</t>
  </si>
  <si>
    <t>NZS income per recipient</t>
  </si>
  <si>
    <t xml:space="preserve">Gross income </t>
  </si>
  <si>
    <t>Utilitarian</t>
  </si>
  <si>
    <t>Prioritarian</t>
  </si>
  <si>
    <t>Maximin</t>
  </si>
  <si>
    <t>Years since base</t>
  </si>
  <si>
    <t>Base year annual rate singles</t>
  </si>
  <si>
    <t>Base year annual rate couples</t>
  </si>
  <si>
    <t>Mulitplier</t>
  </si>
  <si>
    <t>Current year real rate singles</t>
  </si>
  <si>
    <t>Current year annual rate couples</t>
  </si>
  <si>
    <t>Total 65+ population</t>
  </si>
  <si>
    <t>Single</t>
  </si>
  <si>
    <t>In a relationship</t>
  </si>
  <si>
    <t>NZS paid singles rate</t>
  </si>
  <si>
    <t>NZS paid couples rate</t>
  </si>
  <si>
    <t>NZS paid total to 65+</t>
  </si>
  <si>
    <t>Revenue share</t>
  </si>
  <si>
    <t>Required tax rate</t>
  </si>
  <si>
    <t>Decile NZS cost</t>
  </si>
  <si>
    <t>Wealth income</t>
  </si>
  <si>
    <t>Pension income</t>
  </si>
  <si>
    <t>Total income post NZS</t>
  </si>
  <si>
    <t>pre-NZS</t>
  </si>
  <si>
    <t>Total income post-NZS</t>
  </si>
  <si>
    <t>Adjusted score</t>
  </si>
  <si>
    <t>Quintiles</t>
  </si>
  <si>
    <t>Scenario</t>
  </si>
  <si>
    <t>Score</t>
  </si>
  <si>
    <t>Normalised</t>
  </si>
  <si>
    <t>Overall</t>
  </si>
  <si>
    <t>Means-test BAU</t>
  </si>
  <si>
    <t>Universal BAU</t>
  </si>
  <si>
    <t>Means-test prog</t>
  </si>
  <si>
    <t>Universal prog</t>
  </si>
  <si>
    <t>log Means-test BAU</t>
  </si>
  <si>
    <t>log Means-test prog</t>
  </si>
  <si>
    <t>log Universal prog</t>
  </si>
  <si>
    <t>Simple means test - top 2 quintiles no NZS</t>
  </si>
  <si>
    <t>log Universal BAU</t>
  </si>
  <si>
    <t>Net income Progressive</t>
  </si>
  <si>
    <t>Pension income after means test</t>
  </si>
  <si>
    <t>Total income post-NZSs</t>
  </si>
  <si>
    <t>Decile</t>
  </si>
  <si>
    <t>Size tax paying group by income group</t>
  </si>
  <si>
    <t>Quintile size</t>
  </si>
  <si>
    <t>Average income pp progressive</t>
  </si>
  <si>
    <t>65+ employed population current year</t>
  </si>
  <si>
    <t>NZS paid total to employed 65+</t>
  </si>
  <si>
    <t>NZS paid total after means test</t>
  </si>
  <si>
    <t>Implied average tax rate</t>
  </si>
  <si>
    <t>Employed working age pop current year</t>
  </si>
  <si>
    <t>Total tax paying population</t>
  </si>
  <si>
    <t>Employment income</t>
  </si>
  <si>
    <t>Total income</t>
  </si>
  <si>
    <t>post NZS</t>
  </si>
  <si>
    <t>post-NZS</t>
  </si>
  <si>
    <t>Decile size</t>
  </si>
  <si>
    <t>Difference</t>
  </si>
  <si>
    <t>Total income without NZS</t>
  </si>
  <si>
    <t>Prog</t>
  </si>
  <si>
    <t>Prog universal</t>
  </si>
  <si>
    <t>Prog means test</t>
  </si>
  <si>
    <t>Utility Score</t>
  </si>
  <si>
    <t>Average income pp</t>
  </si>
  <si>
    <t>3</t>
  </si>
  <si>
    <t>4</t>
  </si>
  <si>
    <t>Log universal BAU</t>
  </si>
  <si>
    <t>5</t>
  </si>
  <si>
    <t>Log universal prog</t>
  </si>
  <si>
    <t>6</t>
  </si>
  <si>
    <t>Log means test BAU</t>
  </si>
  <si>
    <t>7</t>
  </si>
  <si>
    <t>Log means test prog</t>
  </si>
  <si>
    <t>8</t>
  </si>
  <si>
    <t>9</t>
  </si>
  <si>
    <t>10</t>
  </si>
  <si>
    <t>Progressive tax rates</t>
  </si>
  <si>
    <t>Revenue contribution progressive</t>
  </si>
  <si>
    <t>Progressive revenue contribution scaled</t>
  </si>
  <si>
    <t>Revenue Share Progressive</t>
  </si>
  <si>
    <t>Total:</t>
  </si>
  <si>
    <t>Scale:</t>
  </si>
  <si>
    <t>Checks:</t>
  </si>
  <si>
    <t>Universal base</t>
  </si>
  <si>
    <t>Means-test base</t>
  </si>
  <si>
    <t>Utilitarian Welfare | Isoelastic Utility | Means-test 4 deciles</t>
  </si>
  <si>
    <t>Utilitarian Welfare | Isoelastic Utility | Means-test 5 deciles</t>
  </si>
  <si>
    <t>Baseline Tax</t>
  </si>
  <si>
    <t>Progressive Tax</t>
  </si>
  <si>
    <t>Net Income Baseline</t>
  </si>
  <si>
    <t>Average income pp baseline</t>
  </si>
  <si>
    <t>Isoelastic normalised</t>
  </si>
  <si>
    <t>Isoelastic p=1.26</t>
  </si>
  <si>
    <t>Social welfare function basline tax isoelastic utility</t>
  </si>
  <si>
    <t>SWF baseline tax log utility</t>
  </si>
  <si>
    <t>Prioriatian</t>
  </si>
  <si>
    <t>SWF progressive tax isoelastic utility</t>
  </si>
  <si>
    <t>SWF progressive tax log utility</t>
  </si>
  <si>
    <t xml:space="preserve"> Sensitivity check</t>
  </si>
  <si>
    <t>Sensitivity check</t>
  </si>
  <si>
    <t>Base</t>
  </si>
  <si>
    <t>Baseline tax rates 2026</t>
  </si>
  <si>
    <t>Base means-test</t>
  </si>
  <si>
    <t>Log universal base</t>
  </si>
  <si>
    <t>Log means test base</t>
  </si>
  <si>
    <t>Base universal</t>
  </si>
  <si>
    <t>Prog means-test</t>
  </si>
  <si>
    <t>Log utility baseline tax universal post-NZS income</t>
  </si>
  <si>
    <t>Baselinetax</t>
  </si>
  <si>
    <t>Baseline tax</t>
  </si>
  <si>
    <t>Implied effective tax rate</t>
  </si>
  <si>
    <t>Progressive tax</t>
  </si>
  <si>
    <t>Source notes</t>
  </si>
  <si>
    <t>Population projections</t>
  </si>
  <si>
    <t>Average income pp Baseline</t>
  </si>
  <si>
    <t>Isoelastic p = 1.26</t>
  </si>
  <si>
    <t>Utility score baseline tax post-NZS income</t>
  </si>
  <si>
    <t>Utility score progressive  tax post-NZS income</t>
  </si>
  <si>
    <t>Welfare score baseline tax post-NZS income isoelastic utility</t>
  </si>
  <si>
    <t>Welfare score baseline tax post-NZS income log utility</t>
  </si>
  <si>
    <t>Welfare score progressive tax post-NZS income isoelastic utility</t>
  </si>
  <si>
    <t>Welfare score progressive tax post-NZS income log utility</t>
  </si>
  <si>
    <t>Welfare score baseline tax pre-NZS income log utility</t>
  </si>
  <si>
    <t>Welfare score baseline tax pre-NZS income isoelastic utility</t>
  </si>
  <si>
    <t>Welfare score baseline tax pre-NZS income isoelastic  utility</t>
  </si>
  <si>
    <t>Welfare score progressive tax pre-NZS income isoelastic utility</t>
  </si>
  <si>
    <t>Welfare score progressive tax pre-NZS income log utility</t>
  </si>
  <si>
    <t>Utility score baseline tax pre-NZS income</t>
  </si>
  <si>
    <t>Utility score progressive tax pre-NZS income</t>
  </si>
  <si>
    <t>Isoelsatic p = 1.26</t>
  </si>
  <si>
    <t>Isoelastic p= 1.26 normalised</t>
  </si>
  <si>
    <t>Isoelastic p = 2</t>
  </si>
  <si>
    <t>Only the bottom four deciles get NZS</t>
  </si>
  <si>
    <t>Only the bottom five deciles get NZS</t>
  </si>
  <si>
    <t>Only the bottom three deciles get NZS</t>
  </si>
  <si>
    <t>Net Income baseline tax</t>
  </si>
  <si>
    <t>Average income pp baseline tax</t>
  </si>
  <si>
    <t>Isoelastic p = 1.26 normalised</t>
  </si>
  <si>
    <t>p = 2 universal base</t>
  </si>
  <si>
    <t>p = 2 universal prog</t>
  </si>
  <si>
    <t>p = 2 means test base</t>
  </si>
  <si>
    <t>p = 2 means test prog</t>
  </si>
  <si>
    <t xml:space="preserve">Isoelastic p=1.26 utility baseline tax universal post NZS income </t>
  </si>
  <si>
    <t xml:space="preserve">Isoelastic p=2 utility baseline tax universal post NZS income </t>
  </si>
  <si>
    <t>Normalised Maximin Scores Income 2026</t>
  </si>
  <si>
    <t>Normalised Prioritarian Scores Income 2026</t>
  </si>
  <si>
    <t>Normalised utilitarian scores Income 2026</t>
  </si>
  <si>
    <t>Prioritarian by year Income</t>
  </si>
  <si>
    <t>Implied Effective Tax Rates Wealth Models</t>
  </si>
  <si>
    <t>Net-income difference between tax scenarios income models</t>
  </si>
  <si>
    <t>Means tested tax rates Income 2026</t>
  </si>
  <si>
    <t>Utility difference from baseline by decile Income models 2026</t>
  </si>
  <si>
    <t>Net Per Person Income baseline tax</t>
  </si>
  <si>
    <t>Prioritarian Wealth models</t>
  </si>
  <si>
    <t>Utilitarian wealth models</t>
  </si>
  <si>
    <t>NZS paid after means testing:</t>
  </si>
  <si>
    <t>Net income Progressive tax</t>
  </si>
  <si>
    <t>Utility score baseline tax</t>
  </si>
  <si>
    <t>Utility score progressive tax</t>
  </si>
  <si>
    <t>Welfare score baesline tax post-NZS income isoelastic utility</t>
  </si>
  <si>
    <t>Welfare score baesline tax post-NZS income log utility</t>
  </si>
  <si>
    <t>Utility score baseline</t>
  </si>
  <si>
    <t>Utility score progressive</t>
  </si>
  <si>
    <t>Net Income Baseline tax</t>
  </si>
  <si>
    <t>Isoelastic utility p = 1.26</t>
  </si>
  <si>
    <t>Utility scores progressive tax</t>
  </si>
  <si>
    <t>Welfare score baseline tax isoelastic utility</t>
  </si>
  <si>
    <t xml:space="preserve">Welfare score baseline tax isoelastic utility			</t>
  </si>
  <si>
    <t>Welfare score baseline tax log utility</t>
  </si>
  <si>
    <t xml:space="preserve">Welfare score progressive tax isoelastic utility			</t>
  </si>
  <si>
    <t xml:space="preserve">Welfare score progressive tax log utility			</t>
  </si>
  <si>
    <t>Baseline tax rates</t>
  </si>
  <si>
    <t>Baseline  tax rates</t>
  </si>
  <si>
    <t>Revenue contribution baseline</t>
  </si>
  <si>
    <t>Revenue share baseline</t>
  </si>
  <si>
    <t>Maximin wealth models</t>
  </si>
  <si>
    <t>Progressive tax rates 2026</t>
  </si>
  <si>
    <t>Multiplier</t>
  </si>
  <si>
    <t>Implied Effective Tax Rates Wealth Models - stock taxation</t>
  </si>
  <si>
    <t>Stock taxation</t>
  </si>
  <si>
    <t>Flow taxation</t>
  </si>
  <si>
    <t>Wealth base year: FY 23/24</t>
  </si>
  <si>
    <t>Years since base NZS</t>
  </si>
  <si>
    <t>Years since base wealth</t>
  </si>
  <si>
    <t>Base means-test 3 deciles</t>
  </si>
  <si>
    <t>Means-test 4 deciles base</t>
  </si>
  <si>
    <t>Means-test 5 deciles base</t>
  </si>
  <si>
    <t>Means-test 4 deciles prog</t>
  </si>
  <si>
    <t>Means-test 5 deciles prog</t>
  </si>
  <si>
    <t>Baseline</t>
  </si>
  <si>
    <t>Progressive</t>
  </si>
  <si>
    <t>Adjusted scores prioritarian welfare p = 2</t>
  </si>
  <si>
    <t>p=1.26</t>
  </si>
  <si>
    <t>p=1</t>
  </si>
  <si>
    <t>p=2</t>
  </si>
  <si>
    <t>Original p = 2</t>
  </si>
  <si>
    <t>Baseline tax + universal provision</t>
  </si>
  <si>
    <t>Prog-means test</t>
  </si>
  <si>
    <t>Baseline means-test</t>
  </si>
  <si>
    <t>Real wage growth - inflation + 1</t>
  </si>
  <si>
    <t>Source: https://www.ird.govt.nz/about-us/tax-statistics/revenue-refunds/wage-salary-distributions/wage-and-salary-statistics-datasets</t>
  </si>
  <si>
    <t>65+ scaling factor from 2025</t>
  </si>
  <si>
    <t>Isoelsatic p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</si>
</sst>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$&quot;#,##0.00_);[Red]\(&quot;$&quot;#,##0.00\)"/>
    <numFmt numFmtId="165" formatCode="0.0000000000000"/>
    <numFmt numFmtId="166" formatCode="0.00000"/>
    <numFmt numFmtId="167" formatCode="0.000000"/>
    <numFmt numFmtId="168" formatCode="0.0000000"/>
    <numFmt numFmtId="169" formatCode="0.00000000"/>
    <numFmt numFmtId="170" formatCode="0.000000000"/>
    <numFmt numFmtId="171" formatCode="0.0000000000"/>
    <numFmt numFmtId="172" formatCode="0.00000000000"/>
    <numFmt numFmtId="173" formatCode="&quot;$&quot;#,##0.00"/>
    <numFmt numFmtId="174" formatCode="0.0000"/>
    <numFmt numFmtId="175" formatCode="0.000"/>
    <numFmt numFmtId="176" formatCode="0.0"/>
    <numFmt numFmtId="177" formatCode="0.0000000000000000000"/>
    <numFmt numFmtId="178" formatCode="#,##0.00000_);[Red]\(#,##0.00000\)"/>
    <numFmt numFmtId="179" formatCode="&quot;£&quot;#,##0.00"/>
  </numFmts>
  <fonts count="1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b/>
      <sz val="11"/>
      <color rgb="FF000000"/>
      <name val="Aptos Narrow"/>
    </font>
    <font>
      <b/>
      <sz val="11"/>
      <color theme="1"/>
      <name val="Aptos Narrow"/>
      <scheme val="minor"/>
    </font>
    <font>
      <b/>
      <sz val="11"/>
      <color theme="2" tint="-0.499984740745262"/>
      <name val="Aptos Narrow"/>
      <scheme val="minor"/>
    </font>
    <font>
      <sz val="11"/>
      <color rgb="FFFF0000"/>
      <name val="Aptos Narrow (Body)"/>
    </font>
    <font>
      <b/>
      <sz val="11"/>
      <color rgb="FF000000"/>
      <name val="Aptos Narrow"/>
      <family val="2"/>
      <scheme val="minor"/>
    </font>
    <font>
      <b/>
      <sz val="11"/>
      <color rgb="FF747474"/>
      <name val="Aptos Narrow"/>
      <family val="2"/>
      <scheme val="minor"/>
    </font>
    <font>
      <sz val="11"/>
      <color theme="1"/>
      <name val="Aptos Narrow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dashed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1"/>
    <xf numFmtId="0" fontId="5" fillId="0" borderId="0" xfId="0" applyFont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wrapText="1"/>
    </xf>
    <xf numFmtId="2" fontId="0" fillId="0" borderId="0" xfId="0" applyNumberFormat="1"/>
    <xf numFmtId="0" fontId="6" fillId="0" borderId="0" xfId="0" applyFont="1"/>
    <xf numFmtId="165" fontId="0" fillId="0" borderId="0" xfId="0" applyNumberFormat="1"/>
    <xf numFmtId="0" fontId="6" fillId="0" borderId="1" xfId="0" applyFont="1" applyBorder="1"/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5" fillId="0" borderId="0" xfId="0" applyFont="1" applyAlignment="1">
      <alignment horizontal="center"/>
    </xf>
    <xf numFmtId="166" fontId="0" fillId="0" borderId="0" xfId="0" applyNumberFormat="1"/>
    <xf numFmtId="2" fontId="6" fillId="0" borderId="0" xfId="0" applyNumberFormat="1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7" fillId="0" borderId="0" xfId="0" applyFont="1"/>
    <xf numFmtId="0" fontId="3" fillId="0" borderId="0" xfId="1" applyFont="1"/>
    <xf numFmtId="164" fontId="8" fillId="0" borderId="0" xfId="0" applyNumberFormat="1" applyFont="1"/>
    <xf numFmtId="164" fontId="7" fillId="0" borderId="0" xfId="0" applyNumberFormat="1" applyFont="1"/>
    <xf numFmtId="173" fontId="0" fillId="0" borderId="0" xfId="0" applyNumberFormat="1"/>
    <xf numFmtId="0" fontId="8" fillId="0" borderId="0" xfId="0" applyFont="1"/>
    <xf numFmtId="174" fontId="0" fillId="0" borderId="0" xfId="0" applyNumberFormat="1"/>
    <xf numFmtId="49" fontId="0" fillId="0" borderId="0" xfId="0" applyNumberFormat="1"/>
    <xf numFmtId="175" fontId="0" fillId="0" borderId="0" xfId="0" applyNumberFormat="1"/>
    <xf numFmtId="0" fontId="1" fillId="0" borderId="0" xfId="0" applyFont="1"/>
    <xf numFmtId="167" fontId="1" fillId="0" borderId="0" xfId="0" applyNumberFormat="1" applyFont="1"/>
    <xf numFmtId="176" fontId="0" fillId="0" borderId="0" xfId="0" applyNumberFormat="1"/>
    <xf numFmtId="164" fontId="6" fillId="0" borderId="0" xfId="0" applyNumberFormat="1" applyFont="1"/>
    <xf numFmtId="0" fontId="11" fillId="0" borderId="0" xfId="0" applyFont="1"/>
    <xf numFmtId="0" fontId="12" fillId="0" borderId="0" xfId="0" applyFont="1"/>
    <xf numFmtId="0" fontId="10" fillId="0" borderId="0" xfId="0" applyFont="1"/>
    <xf numFmtId="0" fontId="14" fillId="0" borderId="0" xfId="0" applyFont="1"/>
    <xf numFmtId="10" fontId="1" fillId="0" borderId="0" xfId="0" applyNumberFormat="1" applyFont="1"/>
    <xf numFmtId="0" fontId="9" fillId="0" borderId="0" xfId="0" applyFont="1"/>
    <xf numFmtId="0" fontId="4" fillId="0" borderId="0" xfId="0" applyFont="1"/>
    <xf numFmtId="164" fontId="4" fillId="0" borderId="0" xfId="0" applyNumberFormat="1" applyFont="1"/>
    <xf numFmtId="0" fontId="15" fillId="0" borderId="0" xfId="0" applyFont="1"/>
    <xf numFmtId="167" fontId="6" fillId="0" borderId="0" xfId="0" applyNumberFormat="1" applyFont="1"/>
    <xf numFmtId="177" fontId="0" fillId="0" borderId="0" xfId="0" applyNumberFormat="1"/>
    <xf numFmtId="170" fontId="0" fillId="0" borderId="0" xfId="0" applyNumberFormat="1" applyAlignment="1">
      <alignment horizontal="right" indent="1"/>
    </xf>
    <xf numFmtId="178" fontId="0" fillId="0" borderId="0" xfId="0" applyNumberFormat="1"/>
    <xf numFmtId="179" fontId="3" fillId="0" borderId="0" xfId="0" applyNumberFormat="1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Maximin Scores Difference from Baseline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/>
              <a:ea typeface="Verdana"/>
              <a:cs typeface="Verdana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F9ED5"/>
            </a:solidFill>
            <a:ln w="25400">
              <a:noFill/>
            </a:ln>
            <a:effectLst/>
          </c:spPr>
          <c:invertIfNegative val="0"/>
          <c:cat>
            <c:strRef>
              <c:f>Graphs!$A$117:$A$119</c:f>
              <c:strCache>
                <c:ptCount val="3"/>
                <c:pt idx="0">
                  <c:v>Prog universal</c:v>
                </c:pt>
                <c:pt idx="1">
                  <c:v>Base means-test</c:v>
                </c:pt>
                <c:pt idx="2">
                  <c:v>Prog means-test</c:v>
                </c:pt>
              </c:strCache>
            </c:strRef>
          </c:cat>
          <c:val>
            <c:numRef>
              <c:f>Graphs!$C$117:$C$119</c:f>
              <c:numCache>
                <c:formatCode>0.00000</c:formatCode>
                <c:ptCount val="3"/>
                <c:pt idx="0">
                  <c:v>4.5446916391065351</c:v>
                </c:pt>
                <c:pt idx="1">
                  <c:v>0.78201285527113029</c:v>
                </c:pt>
                <c:pt idx="2">
                  <c:v>4.7217708417366389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A-4328-86F2-472462849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399304"/>
        <c:axId val="433669127"/>
      </c:barChart>
      <c:catAx>
        <c:axId val="1977399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69127"/>
        <c:crosses val="autoZero"/>
        <c:auto val="1"/>
        <c:lblAlgn val="ctr"/>
        <c:lblOffset val="100"/>
        <c:noMultiLvlLbl val="0"/>
      </c:catAx>
      <c:valAx>
        <c:axId val="43366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399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Prog universal</c:v>
          </c:tx>
          <c:spPr>
            <a:pattFill prst="ltUpDiag">
              <a:fgClr>
                <a:schemeClr val="accent4"/>
              </a:fgClr>
              <a:bgClr>
                <a:schemeClr val="bg1"/>
              </a:bgClr>
            </a:pattFill>
            <a:ln>
              <a:solidFill>
                <a:schemeClr val="accent4"/>
              </a:solidFill>
            </a:ln>
            <a:effectLst/>
          </c:spPr>
          <c:invertIfNegative val="0"/>
          <c:val>
            <c:numRef>
              <c:f>Graphs!$A$26:$A$35</c:f>
              <c:numCache>
                <c:formatCode>"$"#,##0.00_);[Red]\("$"#,##0.00\)</c:formatCode>
                <c:ptCount val="10"/>
                <c:pt idx="0">
                  <c:v>271.74312125524466</c:v>
                </c:pt>
                <c:pt idx="1">
                  <c:v>822.15841761081174</c:v>
                </c:pt>
                <c:pt idx="2">
                  <c:v>1544.2219325303959</c:v>
                </c:pt>
                <c:pt idx="3">
                  <c:v>2167.4502728050356</c:v>
                </c:pt>
                <c:pt idx="4">
                  <c:v>2488.7150282204966</c:v>
                </c:pt>
                <c:pt idx="5">
                  <c:v>2800.9971588044864</c:v>
                </c:pt>
                <c:pt idx="6">
                  <c:v>1998.1631291855883</c:v>
                </c:pt>
                <c:pt idx="7">
                  <c:v>-84.952400616035447</c:v>
                </c:pt>
                <c:pt idx="8">
                  <c:v>-3175.560921401353</c:v>
                </c:pt>
                <c:pt idx="9">
                  <c:v>-8832.9357383946772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3-9042-AE41-12971B219E9A}"/>
            </c:ext>
          </c:extLst>
        </c:ser>
        <c:ser>
          <c:idx val="0"/>
          <c:order val="1"/>
          <c:tx>
            <c:v>Prog means-test</c:v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Graphs!$B$26:$B$35</c:f>
              <c:numCache>
                <c:formatCode>"$"#,##0.00_);[Red]\("$"#,##0.00\)</c:formatCode>
                <c:ptCount val="10"/>
                <c:pt idx="0">
                  <c:v>271.74312125524466</c:v>
                </c:pt>
                <c:pt idx="1">
                  <c:v>855.36914443992646</c:v>
                </c:pt>
                <c:pt idx="2">
                  <c:v>1648.1152522075281</c:v>
                </c:pt>
                <c:pt idx="3">
                  <c:v>0.22581706545315683</c:v>
                </c:pt>
                <c:pt idx="4">
                  <c:v>801.86842231851188</c:v>
                </c:pt>
                <c:pt idx="5">
                  <c:v>1609.3242161465387</c:v>
                </c:pt>
                <c:pt idx="6">
                  <c:v>1434.7073082810239</c:v>
                </c:pt>
                <c:pt idx="7">
                  <c:v>203.41338390091551</c:v>
                </c:pt>
                <c:pt idx="8">
                  <c:v>-1780.8368945872644</c:v>
                </c:pt>
                <c:pt idx="9">
                  <c:v>-5043.929771027877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3-9042-AE41-12971B219E9A}"/>
            </c:ext>
          </c:extLst>
        </c:ser>
        <c:ser>
          <c:idx val="2"/>
          <c:order val="2"/>
          <c:tx>
            <c:v>Base means-test</c:v>
          </c:tx>
          <c:spPr>
            <a:pattFill prst="lt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val>
            <c:numRef>
              <c:f>Graphs!$C$26:$C$35</c:f>
              <c:numCache>
                <c:formatCode>General</c:formatCode>
                <c:ptCount val="10"/>
                <c:pt idx="0">
                  <c:v>34.447146207118749</c:v>
                </c:pt>
                <c:pt idx="1">
                  <c:v>137.43051751243547</c:v>
                </c:pt>
                <c:pt idx="2">
                  <c:v>299.64450719716478</c:v>
                </c:pt>
                <c:pt idx="3">
                  <c:v>-1892.4705775214534</c:v>
                </c:pt>
                <c:pt idx="4">
                  <c:v>-1371.3680390519221</c:v>
                </c:pt>
                <c:pt idx="5">
                  <c:v>-836.60835736368608</c:v>
                </c:pt>
                <c:pt idx="6">
                  <c:v>-310.16139660125191</c:v>
                </c:pt>
                <c:pt idx="7">
                  <c:v>277.59690929704811</c:v>
                </c:pt>
                <c:pt idx="8">
                  <c:v>992.17837692299508</c:v>
                </c:pt>
                <c:pt idx="9">
                  <c:v>2669.3109134015685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F-8C40-896A-E64090D87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1172739080"/>
        <c:axId val="1172741128"/>
      </c:barChart>
      <c:catAx>
        <c:axId val="1172739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Deciles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2741128"/>
        <c:crosses val="autoZero"/>
        <c:auto val="1"/>
        <c:lblAlgn val="ctr"/>
        <c:lblOffset val="100"/>
        <c:noMultiLvlLbl val="0"/>
      </c:catAx>
      <c:valAx>
        <c:axId val="1172741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Difference</a:t>
                </a:r>
                <a:r>
                  <a:rPr lang="en-US" baseline="0"/>
                  <a:t> (NZD)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1919832451211027E-2"/>
              <c:y val="0.208758303619963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\$0.00" sourceLinked="0"/>
        <c:majorTickMark val="none"/>
        <c:minorTickMark val="none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2739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Universal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'Income universal'!$V$4:$V$13</c:f>
              <c:numCache>
                <c:formatCode>0.00%</c:formatCode>
                <c:ptCount val="10"/>
                <c:pt idx="0">
                  <c:v>9.8644565474407739E-2</c:v>
                </c:pt>
                <c:pt idx="1">
                  <c:v>8.680721761747881E-2</c:v>
                </c:pt>
                <c:pt idx="2">
                  <c:v>9.0753000236455106E-2</c:v>
                </c:pt>
                <c:pt idx="3">
                  <c:v>9.4698782855431429E-2</c:v>
                </c:pt>
                <c:pt idx="4">
                  <c:v>9.8644565474407739E-2</c:v>
                </c:pt>
                <c:pt idx="5">
                  <c:v>0.10653613071236036</c:v>
                </c:pt>
                <c:pt idx="6">
                  <c:v>0.11048191333133668</c:v>
                </c:pt>
                <c:pt idx="7">
                  <c:v>0.11442769595031298</c:v>
                </c:pt>
                <c:pt idx="8">
                  <c:v>0.11837347856928927</c:v>
                </c:pt>
                <c:pt idx="9">
                  <c:v>0.1223192611882656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2-1041-B89A-056C03889A29}"/>
            </c:ext>
          </c:extLst>
        </c:ser>
        <c:ser>
          <c:idx val="2"/>
          <c:order val="1"/>
          <c:tx>
            <c:v>Means-test</c:v>
          </c:tx>
          <c:spPr>
            <a:pattFill prst="lt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Graphs!$B$44:$B$53</c:f>
              <c:numCache>
                <c:formatCode>0.00%</c:formatCode>
                <c:ptCount val="10"/>
                <c:pt idx="0">
                  <c:v>8.6140021647360995E-2</c:v>
                </c:pt>
                <c:pt idx="1">
                  <c:v>7.5803219049677684E-2</c:v>
                </c:pt>
                <c:pt idx="2">
                  <c:v>7.924881991557213E-2</c:v>
                </c:pt>
                <c:pt idx="3">
                  <c:v>8.2694420781466549E-2</c:v>
                </c:pt>
                <c:pt idx="4">
                  <c:v>8.6140021647361009E-2</c:v>
                </c:pt>
                <c:pt idx="5">
                  <c:v>9.3031223379149888E-2</c:v>
                </c:pt>
                <c:pt idx="6">
                  <c:v>9.6476824245044335E-2</c:v>
                </c:pt>
                <c:pt idx="7">
                  <c:v>9.9922425110938753E-2</c:v>
                </c:pt>
                <c:pt idx="8">
                  <c:v>0.1033680259768332</c:v>
                </c:pt>
                <c:pt idx="9">
                  <c:v>0.10681362684272765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2-1041-B89A-056C03889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31031560"/>
        <c:axId val="2131033608"/>
      </c:barChart>
      <c:catAx>
        <c:axId val="2131031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</a:rPr>
                  <a:t>Deciles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131033608"/>
        <c:crosses val="autoZero"/>
        <c:auto val="1"/>
        <c:lblAlgn val="ctr"/>
        <c:lblOffset val="100"/>
        <c:noMultiLvlLbl val="0"/>
      </c:catAx>
      <c:valAx>
        <c:axId val="2131033608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</a:rPr>
                  <a:t>Tax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13103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Universal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'Income universal'!$Y$4:$Y$13</c:f>
              <c:numCache>
                <c:formatCode>0.00%</c:formatCode>
                <c:ptCount val="10"/>
                <c:pt idx="0">
                  <c:v>0</c:v>
                </c:pt>
                <c:pt idx="1">
                  <c:v>2.0977369824928038E-2</c:v>
                </c:pt>
                <c:pt idx="2">
                  <c:v>3.1466054737392057E-2</c:v>
                </c:pt>
                <c:pt idx="3">
                  <c:v>4.195473964985607E-2</c:v>
                </c:pt>
                <c:pt idx="4">
                  <c:v>5.2443424562320082E-2</c:v>
                </c:pt>
                <c:pt idx="5">
                  <c:v>6.2932109474784101E-2</c:v>
                </c:pt>
                <c:pt idx="6">
                  <c:v>8.3909479299712139E-2</c:v>
                </c:pt>
                <c:pt idx="7">
                  <c:v>0.1153755340371042</c:v>
                </c:pt>
                <c:pt idx="8">
                  <c:v>0.14684158877449624</c:v>
                </c:pt>
                <c:pt idx="9">
                  <c:v>0.16781895859942431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0-D840-829B-110B24B14ADB}"/>
            </c:ext>
          </c:extLst>
        </c:ser>
        <c:ser>
          <c:idx val="3"/>
          <c:order val="1"/>
          <c:tx>
            <c:v>Means-test</c:v>
          </c:tx>
          <c:spPr>
            <a:pattFill prst="lt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Graphs!$C$44:$C$53</c:f>
              <c:numCache>
                <c:formatCode>0.00%</c:formatCode>
                <c:ptCount val="10"/>
                <c:pt idx="0">
                  <c:v>0</c:v>
                </c:pt>
                <c:pt idx="1">
                  <c:v>1.831820214457534E-2</c:v>
                </c:pt>
                <c:pt idx="2">
                  <c:v>2.7477303216863015E-2</c:v>
                </c:pt>
                <c:pt idx="3">
                  <c:v>3.6636404289150687E-2</c:v>
                </c:pt>
                <c:pt idx="4">
                  <c:v>4.5795505361438352E-2</c:v>
                </c:pt>
                <c:pt idx="5">
                  <c:v>5.4954606433726023E-2</c:v>
                </c:pt>
                <c:pt idx="6">
                  <c:v>7.327280857830136E-2</c:v>
                </c:pt>
                <c:pt idx="7">
                  <c:v>0.10075011179516438</c:v>
                </c:pt>
                <c:pt idx="8">
                  <c:v>0.12822741501202736</c:v>
                </c:pt>
                <c:pt idx="9">
                  <c:v>0.14654561715660272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F0-D840-829B-110B24B14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2131031560"/>
        <c:axId val="2131033608"/>
      </c:barChart>
      <c:catAx>
        <c:axId val="2131031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033608"/>
        <c:crosses val="autoZero"/>
        <c:auto val="1"/>
        <c:lblAlgn val="ctr"/>
        <c:lblOffset val="100"/>
        <c:noMultiLvlLbl val="0"/>
      </c:catAx>
      <c:valAx>
        <c:axId val="2131033608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</a:rPr>
                  <a:t>Tax rartes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13103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Prog universal</c:v>
          </c:tx>
          <c:spPr>
            <a:ln w="28575" cap="rnd">
              <a:solidFill>
                <a:srgbClr val="00B0F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noFill/>
                <a:prstDash val="solid"/>
              </a:ln>
              <a:effectLst/>
            </c:spPr>
          </c:marker>
          <c:val>
            <c:numRef>
              <c:f>Graphs!$A$61:$A$70</c:f>
              <c:numCache>
                <c:formatCode>0.000</c:formatCode>
                <c:ptCount val="10"/>
                <c:pt idx="0">
                  <c:v>4.6916148635665067</c:v>
                </c:pt>
                <c:pt idx="1">
                  <c:v>4.5446916391065351</c:v>
                </c:pt>
                <c:pt idx="2">
                  <c:v>3.996611634520697</c:v>
                </c:pt>
                <c:pt idx="3">
                  <c:v>3.3758797270935226</c:v>
                </c:pt>
                <c:pt idx="4">
                  <c:v>2.8548860285964039</c:v>
                </c:pt>
                <c:pt idx="5">
                  <c:v>2.6450133166524559</c:v>
                </c:pt>
                <c:pt idx="6">
                  <c:v>1.591235263620483</c:v>
                </c:pt>
                <c:pt idx="7">
                  <c:v>-5.6089572444406599E-2</c:v>
                </c:pt>
                <c:pt idx="8">
                  <c:v>-1.6446745830460685</c:v>
                </c:pt>
                <c:pt idx="9">
                  <c:v>-2.3328840922096639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3-C948-B3A7-C924DB70C666}"/>
            </c:ext>
          </c:extLst>
        </c:ser>
        <c:ser>
          <c:idx val="1"/>
          <c:order val="1"/>
          <c:tx>
            <c:v>Base means-test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val>
            <c:numRef>
              <c:f>Graphs!$B$61:$B$70</c:f>
              <c:numCache>
                <c:formatCode>0.0</c:formatCode>
                <c:ptCount val="10"/>
                <c:pt idx="0">
                  <c:v>0.60966833050235536</c:v>
                </c:pt>
                <c:pt idx="1">
                  <c:v>0.78201285527113029</c:v>
                </c:pt>
                <c:pt idx="2">
                  <c:v>0.79818237900441957</c:v>
                </c:pt>
                <c:pt idx="3">
                  <c:v>-3.1438449076324204</c:v>
                </c:pt>
                <c:pt idx="4">
                  <c:v>-1.6498661198256492</c:v>
                </c:pt>
                <c:pt idx="5">
                  <c:v>-0.82080684539942439</c:v>
                </c:pt>
                <c:pt idx="6">
                  <c:v>-0.25225872080136824</c:v>
                </c:pt>
                <c:pt idx="7">
                  <c:v>0.18276310525777717</c:v>
                </c:pt>
                <c:pt idx="8">
                  <c:v>0.5002879148952033</c:v>
                </c:pt>
                <c:pt idx="9">
                  <c:v>0.67522906585981701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3-C948-B3A7-C924DB70C666}"/>
            </c:ext>
          </c:extLst>
        </c:ser>
        <c:ser>
          <c:idx val="2"/>
          <c:order val="2"/>
          <c:tx>
            <c:v>Prog means-test</c:v>
          </c:tx>
          <c:spPr>
            <a:ln w="28575" cap="rnd">
              <a:solidFill>
                <a:schemeClr val="bg2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noFill/>
                <a:prstDash val="solid"/>
              </a:ln>
              <a:effectLst/>
            </c:spPr>
          </c:marker>
          <c:val>
            <c:numRef>
              <c:f>Graphs!$C$61:$C$70</c:f>
              <c:numCache>
                <c:formatCode>0.00</c:formatCode>
                <c:ptCount val="10"/>
                <c:pt idx="0">
                  <c:v>4.6916148635665067</c:v>
                </c:pt>
                <c:pt idx="1">
                  <c:v>4.7217708417366389</c:v>
                </c:pt>
                <c:pt idx="2">
                  <c:v>4.2554692613618883</c:v>
                </c:pt>
                <c:pt idx="3">
                  <c:v>3.637686072366364E-4</c:v>
                </c:pt>
                <c:pt idx="4">
                  <c:v>0.93882884646889764</c:v>
                </c:pt>
                <c:pt idx="5">
                  <c:v>1.5385143728452455</c:v>
                </c:pt>
                <c:pt idx="6">
                  <c:v>1.1483568381098763</c:v>
                </c:pt>
                <c:pt idx="7">
                  <c:v>0.13400013476783101</c:v>
                </c:pt>
                <c:pt idx="8">
                  <c:v>-0.91399423877769337</c:v>
                </c:pt>
                <c:pt idx="9">
                  <c:v>-1.3129851167925644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73-C948-B3A7-C924DB70C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016264"/>
        <c:axId val="1378022408"/>
      </c:lineChart>
      <c:catAx>
        <c:axId val="1378016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Deciles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1378022408"/>
        <c:crosses val="autoZero"/>
        <c:auto val="1"/>
        <c:lblAlgn val="ctr"/>
        <c:lblOffset val="100"/>
        <c:noMultiLvlLbl val="0"/>
      </c:catAx>
      <c:valAx>
        <c:axId val="1378022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Utility</a:t>
                </a:r>
                <a:r>
                  <a:rPr lang="en-GB" baseline="0"/>
                  <a:t> score (normalised utils)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137801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Graphs!$A$84:$A$86</c:f>
              <c:strCache>
                <c:ptCount val="3"/>
                <c:pt idx="0">
                  <c:v>Prog universal</c:v>
                </c:pt>
                <c:pt idx="1">
                  <c:v>Base means-test</c:v>
                </c:pt>
                <c:pt idx="2">
                  <c:v>Prog means-test</c:v>
                </c:pt>
              </c:strCache>
            </c:strRef>
          </c:cat>
          <c:val>
            <c:numRef>
              <c:f>Graphs!$C$84:$C$86</c:f>
              <c:numCache>
                <c:formatCode>0.00</c:formatCode>
                <c:ptCount val="3"/>
                <c:pt idx="0">
                  <c:v>19.666284225451136</c:v>
                </c:pt>
                <c:pt idx="1">
                  <c:v>-2.3186329428668273</c:v>
                </c:pt>
                <c:pt idx="2">
                  <c:v>15.201939571895196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F-9F4E-9EEA-75D9EC9E4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109767"/>
        <c:axId val="1509111815"/>
      </c:barChart>
      <c:catAx>
        <c:axId val="1509109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1509111815"/>
        <c:crosses val="autoZero"/>
        <c:auto val="1"/>
        <c:lblAlgn val="ctr"/>
        <c:lblOffset val="100"/>
        <c:noMultiLvlLbl val="0"/>
      </c:catAx>
      <c:valAx>
        <c:axId val="1509111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Verdana"/>
                    <a:cs typeface="Verdana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Normaliseed welfare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Verdana"/>
                  <a:cs typeface="Verdana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1509109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 w="25400">
              <a:noFill/>
            </a:ln>
            <a:effectLst/>
          </c:spPr>
          <c:invertIfNegative val="0"/>
          <c:cat>
            <c:strRef>
              <c:f>Graphs!$A$101:$A$103</c:f>
              <c:strCache>
                <c:ptCount val="3"/>
                <c:pt idx="0">
                  <c:v>Prog universal</c:v>
                </c:pt>
                <c:pt idx="1">
                  <c:v>Base means-test</c:v>
                </c:pt>
                <c:pt idx="2">
                  <c:v>Prog means-test</c:v>
                </c:pt>
              </c:strCache>
            </c:strRef>
          </c:cat>
          <c:val>
            <c:numRef>
              <c:f>Graphs!$C$101:$C$103</c:f>
              <c:numCache>
                <c:formatCode>General</c:formatCode>
                <c:ptCount val="3"/>
                <c:pt idx="0">
                  <c:v>5.2283038480673838</c:v>
                </c:pt>
                <c:pt idx="1">
                  <c:v>-0.60583615797327184</c:v>
                </c:pt>
                <c:pt idx="2">
                  <c:v>4.0512556396841148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B-9945-9BC4-29D2C73AB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366536"/>
        <c:axId val="1770655752"/>
      </c:barChart>
      <c:catAx>
        <c:axId val="197736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1770655752"/>
        <c:crosses val="autoZero"/>
        <c:auto val="1"/>
        <c:lblAlgn val="ctr"/>
        <c:lblOffset val="100"/>
        <c:noMultiLvlLbl val="0"/>
      </c:catAx>
      <c:valAx>
        <c:axId val="177065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Verdana"/>
                    <a:cs typeface="Verdana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Normalised welfare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Verdana"/>
                  <a:cs typeface="Verdan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1977366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72405949256343"/>
          <c:y val="7.0011668611435235E-2"/>
          <c:w val="0.87949816272965875"/>
          <c:h val="0.71881790092694109"/>
        </c:manualLayout>
      </c:layout>
      <c:barChart>
        <c:barDir val="col"/>
        <c:grouping val="clustered"/>
        <c:varyColors val="0"/>
        <c:ser>
          <c:idx val="0"/>
          <c:order val="0"/>
          <c:tx>
            <c:v>2026</c:v>
          </c:tx>
          <c:spPr>
            <a:pattFill prst="ltDnDiag">
              <a:fgClr>
                <a:srgbClr val="00B0F0"/>
              </a:fgClr>
              <a:bgClr>
                <a:schemeClr val="bg1"/>
              </a:bgClr>
            </a:pattFill>
            <a:ln>
              <a:solidFill>
                <a:srgbClr val="00B0F0"/>
              </a:solidFill>
            </a:ln>
            <a:effectLst/>
          </c:spPr>
          <c:invertIfNegative val="0"/>
          <c:cat>
            <c:strRef>
              <c:f>Graphs!$B$134:$B$137</c:f>
              <c:strCache>
                <c:ptCount val="4"/>
                <c:pt idx="0">
                  <c:v>Universal BAU</c:v>
                </c:pt>
                <c:pt idx="1">
                  <c:v>Universal prog</c:v>
                </c:pt>
                <c:pt idx="2">
                  <c:v>Means-test BAU</c:v>
                </c:pt>
                <c:pt idx="3">
                  <c:v>Means-test prog</c:v>
                </c:pt>
              </c:strCache>
            </c:strRef>
          </c:cat>
          <c:val>
            <c:numRef>
              <c:f>Graphs!$D$130:$D$133</c:f>
              <c:numCache>
                <c:formatCode>General</c:formatCode>
                <c:ptCount val="4"/>
                <c:pt idx="0">
                  <c:v>0</c:v>
                </c:pt>
                <c:pt idx="1">
                  <c:v>0.52283038480673838</c:v>
                </c:pt>
                <c:pt idx="2">
                  <c:v>-6.0583615797327184E-2</c:v>
                </c:pt>
                <c:pt idx="3">
                  <c:v>0.40512556396841148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5-5F41-BF3A-DB634A7982C3}"/>
            </c:ext>
          </c:extLst>
        </c:ser>
        <c:ser>
          <c:idx val="1"/>
          <c:order val="1"/>
          <c:tx>
            <c:v>2040</c:v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Graphs!$B$134:$B$137</c:f>
              <c:strCache>
                <c:ptCount val="4"/>
                <c:pt idx="0">
                  <c:v>Universal BAU</c:v>
                </c:pt>
                <c:pt idx="1">
                  <c:v>Universal prog</c:v>
                </c:pt>
                <c:pt idx="2">
                  <c:v>Means-test BAU</c:v>
                </c:pt>
                <c:pt idx="3">
                  <c:v>Means-test prog</c:v>
                </c:pt>
              </c:strCache>
            </c:strRef>
          </c:cat>
          <c:val>
            <c:numRef>
              <c:f>Graphs!$D$134:$D$137</c:f>
              <c:numCache>
                <c:formatCode>General</c:formatCode>
                <c:ptCount val="4"/>
                <c:pt idx="0">
                  <c:v>-0.68330209445939261</c:v>
                </c:pt>
                <c:pt idx="1">
                  <c:v>8.0551316175458965E-2</c:v>
                </c:pt>
                <c:pt idx="2">
                  <c:v>-0.61919285360048093</c:v>
                </c:pt>
                <c:pt idx="3">
                  <c:v>5.7169749811336601E-2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85-5F41-BF3A-DB634A7982C3}"/>
            </c:ext>
          </c:extLst>
        </c:ser>
        <c:ser>
          <c:idx val="2"/>
          <c:order val="2"/>
          <c:tx>
            <c:v>2078</c:v>
          </c:tx>
          <c:spPr>
            <a:pattFill prst="ltUp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Graphs!$B$134:$B$137</c:f>
              <c:strCache>
                <c:ptCount val="4"/>
                <c:pt idx="0">
                  <c:v>Universal BAU</c:v>
                </c:pt>
                <c:pt idx="1">
                  <c:v>Universal prog</c:v>
                </c:pt>
                <c:pt idx="2">
                  <c:v>Means-test BAU</c:v>
                </c:pt>
                <c:pt idx="3">
                  <c:v>Means-test prog</c:v>
                </c:pt>
              </c:strCache>
            </c:strRef>
          </c:cat>
          <c:val>
            <c:numRef>
              <c:f>Graphs!$D$138:$D$141</c:f>
              <c:numCache>
                <c:formatCode>General</c:formatCode>
                <c:ptCount val="4"/>
                <c:pt idx="0">
                  <c:v>4.2157384077331272</c:v>
                </c:pt>
                <c:pt idx="1">
                  <c:v>5.1346507145055398</c:v>
                </c:pt>
                <c:pt idx="2">
                  <c:v>4.0180232261910476</c:v>
                </c:pt>
                <c:pt idx="3">
                  <c:v>4.8901663274076412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85-5F41-BF3A-DB634A798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224136"/>
        <c:axId val="282226184"/>
      </c:barChart>
      <c:catAx>
        <c:axId val="282224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82226184"/>
        <c:crosses val="autoZero"/>
        <c:auto val="1"/>
        <c:lblAlgn val="ctr"/>
        <c:lblOffset val="100"/>
        <c:noMultiLvlLbl val="0"/>
      </c:catAx>
      <c:valAx>
        <c:axId val="28222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</a:rPr>
                  <a:t>Normalised welfare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8222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Graphs!$A$148:$A$157</c:f>
              <c:numCache>
                <c:formatCode>General</c:formatCode>
                <c:ptCount val="10"/>
                <c:pt idx="0" formatCode="&quot;$&quot;#,##0.00_);[Red]\(&quot;$&quot;#,##0.00\)">
                  <c:v>5.8912768764526646</c:v>
                </c:pt>
                <c:pt idx="1">
                  <c:v>14.472420438757901</c:v>
                </c:pt>
                <c:pt idx="2">
                  <c:v>26.409370835797514</c:v>
                </c:pt>
                <c:pt idx="3">
                  <c:v>39.587992329115643</c:v>
                </c:pt>
                <c:pt idx="4">
                  <c:v>50.598227309543084</c:v>
                </c:pt>
                <c:pt idx="5">
                  <c:v>59.097679110401273</c:v>
                </c:pt>
                <c:pt idx="6">
                  <c:v>68.252251082837034</c:v>
                </c:pt>
                <c:pt idx="7">
                  <c:v>80.394146285084901</c:v>
                </c:pt>
                <c:pt idx="8">
                  <c:v>99.025330234032808</c:v>
                </c:pt>
                <c:pt idx="9">
                  <c:v>170.72651994707201</c:v>
                </c:pt>
              </c:numCache>
            </c:numRef>
          </c:xVal>
          <c:yVal>
            <c:numRef>
              <c:f>Graphs!$B$148:$B$157</c:f>
              <c:numCache>
                <c:formatCode>0.0000000</c:formatCode>
                <c:ptCount val="10"/>
                <c:pt idx="0">
                  <c:v>3.4436479939199649</c:v>
                </c:pt>
                <c:pt idx="1">
                  <c:v>3.5275243714055806</c:v>
                </c:pt>
                <c:pt idx="2">
                  <c:v>3.5736519316952546</c:v>
                </c:pt>
                <c:pt idx="3">
                  <c:v>3.6008749698425788</c:v>
                </c:pt>
                <c:pt idx="4">
                  <c:v>3.6160353784194004</c:v>
                </c:pt>
                <c:pt idx="5">
                  <c:v>3.6251405806523107</c:v>
                </c:pt>
                <c:pt idx="6">
                  <c:v>3.6332633680541906</c:v>
                </c:pt>
                <c:pt idx="7">
                  <c:v>3.6421359330711081</c:v>
                </c:pt>
                <c:pt idx="8">
                  <c:v>3.6528980117375638</c:v>
                </c:pt>
                <c:pt idx="9">
                  <c:v>3.6784170300546104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07-304F-983F-F10BE0234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288072"/>
        <c:axId val="787290120"/>
      </c:scatterChart>
      <c:valAx>
        <c:axId val="78728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Verdana"/>
                    <a:cs typeface="Verdana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Annual income ($000's)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Verdana"/>
                  <a:cs typeface="Verdana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87290120"/>
        <c:crosses val="autoZero"/>
        <c:crossBetween val="midCat"/>
      </c:valAx>
      <c:valAx>
        <c:axId val="78729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Verdana"/>
                    <a:cs typeface="Verdana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Utility score (utils)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Verdana"/>
                  <a:cs typeface="Verdana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787288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Graphs!$A$166:$A$175</c:f>
              <c:numCache>
                <c:formatCode>0.00</c:formatCode>
                <c:ptCount val="10"/>
                <c:pt idx="0">
                  <c:v>5.8912768764526646</c:v>
                </c:pt>
                <c:pt idx="1">
                  <c:v>14.472420438757901</c:v>
                </c:pt>
                <c:pt idx="2">
                  <c:v>26.409370835797514</c:v>
                </c:pt>
                <c:pt idx="3">
                  <c:v>39.587992329115643</c:v>
                </c:pt>
                <c:pt idx="4">
                  <c:v>50.598227309543084</c:v>
                </c:pt>
                <c:pt idx="5">
                  <c:v>59.097679110401273</c:v>
                </c:pt>
                <c:pt idx="6">
                  <c:v>68.252251082837034</c:v>
                </c:pt>
                <c:pt idx="7">
                  <c:v>80.394146285084901</c:v>
                </c:pt>
                <c:pt idx="8">
                  <c:v>99.025330234032808</c:v>
                </c:pt>
                <c:pt idx="9">
                  <c:v>170.72651994707201</c:v>
                </c:pt>
              </c:numCache>
            </c:numRef>
          </c:xVal>
          <c:yVal>
            <c:numRef>
              <c:f>Graphs!$B$166:$B$175</c:f>
              <c:numCache>
                <c:formatCode>0.0000000</c:formatCode>
                <c:ptCount val="10"/>
                <c:pt idx="0">
                  <c:v>3.770209434056631</c:v>
                </c:pt>
                <c:pt idx="1">
                  <c:v>4.160541170738175</c:v>
                </c:pt>
                <c:pt idx="2">
                  <c:v>4.4217580549064275</c:v>
                </c:pt>
                <c:pt idx="3">
                  <c:v>4.5975634774406231</c:v>
                </c:pt>
                <c:pt idx="4">
                  <c:v>4.7041353017573986</c:v>
                </c:pt>
                <c:pt idx="5">
                  <c:v>4.771570425562512</c:v>
                </c:pt>
                <c:pt idx="6">
                  <c:v>4.8341169797674777</c:v>
                </c:pt>
                <c:pt idx="7">
                  <c:v>4.9052244277454964</c:v>
                </c:pt>
                <c:pt idx="8">
                  <c:v>4.9957462993831117</c:v>
                </c:pt>
                <c:pt idx="9">
                  <c:v>5.2323009878522244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1A-7E4D-BC7B-BBF6B180C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349000"/>
        <c:axId val="794933256"/>
      </c:scatterChart>
      <c:valAx>
        <c:axId val="787349000"/>
        <c:scaling>
          <c:orientation val="minMax"/>
          <c:max val="18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Verdana"/>
                    <a:cs typeface="Verdana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Annual income ($000's)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Verdana"/>
                  <a:cs typeface="Verdana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794933256"/>
        <c:crosses val="autoZero"/>
        <c:crossBetween val="midCat"/>
        <c:majorUnit val="20"/>
      </c:valAx>
      <c:valAx>
        <c:axId val="794933256"/>
        <c:scaling>
          <c:orientation val="minMax"/>
          <c:min val="3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Verdana"/>
                    <a:cs typeface="Verdana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Utility Score (utils)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Verdana"/>
                  <a:cs typeface="Verdana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787349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2026</c:v>
          </c:tx>
          <c:spPr>
            <a:pattFill prst="ltDnDiag">
              <a:fgClr>
                <a:srgbClr val="00B0F0"/>
              </a:fgClr>
              <a:bgClr>
                <a:schemeClr val="bg1"/>
              </a:bgClr>
            </a:pattFill>
            <a:ln>
              <a:solidFill>
                <a:srgbClr val="00B0F0"/>
              </a:solidFill>
            </a:ln>
            <a:effectLst/>
          </c:spPr>
          <c:invertIfNegative val="0"/>
          <c:val>
            <c:numRef>
              <c:f>Graphs!$B$185:$B$194</c:f>
              <c:numCache>
                <c:formatCode>"$"#,##0.00_);[Red]\("$"#,##0.00\)</c:formatCode>
                <c:ptCount val="10"/>
                <c:pt idx="0">
                  <c:v>5891.2768764526645</c:v>
                </c:pt>
                <c:pt idx="1">
                  <c:v>14472.420438757901</c:v>
                </c:pt>
                <c:pt idx="2">
                  <c:v>26409.370835797516</c:v>
                </c:pt>
                <c:pt idx="3">
                  <c:v>39587.992329115645</c:v>
                </c:pt>
                <c:pt idx="4">
                  <c:v>50598.227309543086</c:v>
                </c:pt>
                <c:pt idx="5">
                  <c:v>59097.679110401274</c:v>
                </c:pt>
                <c:pt idx="6">
                  <c:v>68252.251082837029</c:v>
                </c:pt>
                <c:pt idx="7">
                  <c:v>80394.146285084906</c:v>
                </c:pt>
                <c:pt idx="8">
                  <c:v>99025.330234032808</c:v>
                </c:pt>
                <c:pt idx="9">
                  <c:v>170726.519947072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D-6744-8AA1-9BB8B7527C96}"/>
            </c:ext>
          </c:extLst>
        </c:ser>
        <c:ser>
          <c:idx val="2"/>
          <c:order val="1"/>
          <c:tx>
            <c:v>2040</c:v>
          </c:tx>
          <c:spPr>
            <a:solidFill>
              <a:schemeClr val="bg2">
                <a:lumMod val="50000"/>
              </a:schemeClr>
            </a:solidFill>
            <a:ln w="25400">
              <a:noFill/>
            </a:ln>
            <a:effectLst/>
          </c:spPr>
          <c:invertIfNegative val="0"/>
          <c:val>
            <c:numRef>
              <c:f>Graphs!$C$185:$C$194</c:f>
              <c:numCache>
                <c:formatCode>"$"#,##0.00_);[Red]\("$"#,##0.00\)</c:formatCode>
                <c:ptCount val="10"/>
                <c:pt idx="0">
                  <c:v>5417.976987435457</c:v>
                </c:pt>
                <c:pt idx="1">
                  <c:v>13908.677305790037</c:v>
                </c:pt>
                <c:pt idx="2">
                  <c:v>25642.45107368712</c:v>
                </c:pt>
                <c:pt idx="3">
                  <c:v>38546.905880763996</c:v>
                </c:pt>
                <c:pt idx="4">
                  <c:v>49279.350008121786</c:v>
                </c:pt>
                <c:pt idx="5">
                  <c:v>57407.252775344372</c:v>
                </c:pt>
                <c:pt idx="6">
                  <c:v>66229.330014614126</c:v>
                </c:pt>
                <c:pt idx="7">
                  <c:v>77912.002396570009</c:v>
                </c:pt>
                <c:pt idx="8">
                  <c:v>95828.220424413303</c:v>
                </c:pt>
                <c:pt idx="9">
                  <c:v>164952.20228725666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D-6744-8AA1-9BB8B7527C96}"/>
            </c:ext>
          </c:extLst>
        </c:ser>
        <c:ser>
          <c:idx val="3"/>
          <c:order val="2"/>
          <c:tx>
            <c:v>2078</c:v>
          </c:tx>
          <c:spPr>
            <a:pattFill prst="ltUp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accent2"/>
              </a:solidFill>
            </a:ln>
            <a:effectLst/>
          </c:spPr>
          <c:invertIfNegative val="0"/>
          <c:val>
            <c:numRef>
              <c:f>Graphs!$D$185:$D$194</c:f>
              <c:numCache>
                <c:formatCode>"$"#,##0.00_);[Red]\("$"#,##0.00\)</c:formatCode>
                <c:ptCount val="10"/>
                <c:pt idx="0">
                  <c:v>12972.327613936375</c:v>
                </c:pt>
                <c:pt idx="1">
                  <c:v>21751.179560990025</c:v>
                </c:pt>
                <c:pt idx="2">
                  <c:v>33934.404154217496</c:v>
                </c:pt>
                <c:pt idx="3">
                  <c:v>47244.349386873473</c:v>
                </c:pt>
                <c:pt idx="4">
                  <c:v>58007.367058966753</c:v>
                </c:pt>
                <c:pt idx="5">
                  <c:v>65414.682415864852</c:v>
                </c:pt>
                <c:pt idx="6">
                  <c:v>73763.817241241617</c:v>
                </c:pt>
                <c:pt idx="7">
                  <c:v>85023.774840434111</c:v>
                </c:pt>
                <c:pt idx="8">
                  <c:v>102695.57519329664</c:v>
                </c:pt>
                <c:pt idx="9">
                  <c:v>173844.79709958384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8D-6744-8AA1-9BB8B7527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6"/>
        <c:axId val="592939016"/>
        <c:axId val="592965640"/>
      </c:barChart>
      <c:catAx>
        <c:axId val="592939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Verdana"/>
                    <a:cs typeface="Verdana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Deciles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Verdana"/>
                  <a:cs typeface="Verdana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592965640"/>
        <c:crosses val="autoZero"/>
        <c:auto val="1"/>
        <c:lblAlgn val="ctr"/>
        <c:lblOffset val="100"/>
        <c:noMultiLvlLbl val="0"/>
      </c:catAx>
      <c:valAx>
        <c:axId val="592965640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Verdana"/>
                    <a:cs typeface="Verdana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Income ($)</a:t>
                </a:r>
              </a:p>
            </c:rich>
          </c:tx>
          <c:layout>
            <c:manualLayout>
              <c:xMode val="edge"/>
              <c:yMode val="edge"/>
              <c:x val="1.4811080009570834E-2"/>
              <c:y val="0.270800364385945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Verdana"/>
                  <a:cs typeface="Verdana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59293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p=2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Graphs!$A$201:$A$210</c:f>
              <c:numCache>
                <c:formatCode>"$"#,##0.00_);[Red]\("$"#,##0.00\)</c:formatCode>
                <c:ptCount val="10"/>
                <c:pt idx="0">
                  <c:v>5.8912768764526646</c:v>
                </c:pt>
                <c:pt idx="1">
                  <c:v>14.472420438757901</c:v>
                </c:pt>
                <c:pt idx="2">
                  <c:v>26.409370835797514</c:v>
                </c:pt>
                <c:pt idx="3">
                  <c:v>39.587992329115643</c:v>
                </c:pt>
                <c:pt idx="4">
                  <c:v>50.598227309543084</c:v>
                </c:pt>
                <c:pt idx="5">
                  <c:v>59.097679110401273</c:v>
                </c:pt>
                <c:pt idx="6">
                  <c:v>68.252251082837034</c:v>
                </c:pt>
                <c:pt idx="7">
                  <c:v>80.394146285084901</c:v>
                </c:pt>
                <c:pt idx="8">
                  <c:v>99.025330234032808</c:v>
                </c:pt>
                <c:pt idx="9">
                  <c:v>170.72651994707201</c:v>
                </c:pt>
              </c:numCache>
            </c:numRef>
          </c:xVal>
          <c:yVal>
            <c:numRef>
              <c:f>Graphs!$C$201:$C$210</c:f>
              <c:numCache>
                <c:formatCode>General</c:formatCode>
                <c:ptCount val="10"/>
                <c:pt idx="0">
                  <c:v>0</c:v>
                </c:pt>
                <c:pt idx="1">
                  <c:v>5.0323767891935489E-2</c:v>
                </c:pt>
                <c:pt idx="2">
                  <c:v>6.5939873996390119E-2</c:v>
                </c:pt>
                <c:pt idx="3">
                  <c:v>7.224257986171434E-2</c:v>
                </c:pt>
                <c:pt idx="4">
                  <c:v>7.4990957436016359E-2</c:v>
                </c:pt>
                <c:pt idx="5">
                  <c:v>7.6412185503582641E-2</c:v>
                </c:pt>
                <c:pt idx="6">
                  <c:v>7.7547011368639396E-2</c:v>
                </c:pt>
                <c:pt idx="7">
                  <c:v>7.8653440648612793E-2</c:v>
                </c:pt>
                <c:pt idx="8">
                  <c:v>7.9823608909235233E-2</c:v>
                </c:pt>
                <c:pt idx="9">
                  <c:v>8.1944203563111273E-2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EF-7344-9C8E-D9EFFF58C0AB}"/>
            </c:ext>
          </c:extLst>
        </c:ser>
        <c:ser>
          <c:idx val="1"/>
          <c:order val="1"/>
          <c:tx>
            <c:v>p=1.26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Graphs!$A$201:$A$210</c:f>
              <c:numCache>
                <c:formatCode>"$"#,##0.00_);[Red]\("$"#,##0.00\)</c:formatCode>
                <c:ptCount val="10"/>
                <c:pt idx="0">
                  <c:v>5.8912768764526646</c:v>
                </c:pt>
                <c:pt idx="1">
                  <c:v>14.472420438757901</c:v>
                </c:pt>
                <c:pt idx="2">
                  <c:v>26.409370835797514</c:v>
                </c:pt>
                <c:pt idx="3">
                  <c:v>39.587992329115643</c:v>
                </c:pt>
                <c:pt idx="4">
                  <c:v>50.598227309543084</c:v>
                </c:pt>
                <c:pt idx="5">
                  <c:v>59.097679110401273</c:v>
                </c:pt>
                <c:pt idx="6">
                  <c:v>68.252251082837034</c:v>
                </c:pt>
                <c:pt idx="7">
                  <c:v>80.394146285084901</c:v>
                </c:pt>
                <c:pt idx="8">
                  <c:v>99.025330234032808</c:v>
                </c:pt>
                <c:pt idx="9">
                  <c:v>170.72651994707201</c:v>
                </c:pt>
              </c:numCache>
            </c:numRef>
          </c:xVal>
          <c:yVal>
            <c:numRef>
              <c:f>Graphs!$D$201:$D$210</c:f>
              <c:numCache>
                <c:formatCode>0.0000000</c:formatCode>
                <c:ptCount val="10"/>
                <c:pt idx="0">
                  <c:v>0</c:v>
                </c:pt>
                <c:pt idx="1">
                  <c:v>0.11597836955107299</c:v>
                </c:pt>
                <c:pt idx="2">
                  <c:v>0.17976032335186354</c:v>
                </c:pt>
                <c:pt idx="3">
                  <c:v>0.21740243038127993</c:v>
                </c:pt>
                <c:pt idx="4">
                  <c:v>0.23836517962220194</c:v>
                </c:pt>
                <c:pt idx="5">
                  <c:v>0.25095521439792656</c:v>
                </c:pt>
                <c:pt idx="6">
                  <c:v>0.2621868348770251</c:v>
                </c:pt>
                <c:pt idx="7">
                  <c:v>0.27445519523360384</c:v>
                </c:pt>
                <c:pt idx="8">
                  <c:v>0.2893362424859125</c:v>
                </c:pt>
                <c:pt idx="9">
                  <c:v>0.32462215045758858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E37-8A42-8428-8BBB5DAA3BBA}"/>
            </c:ext>
          </c:extLst>
        </c:ser>
        <c:ser>
          <c:idx val="2"/>
          <c:order val="2"/>
          <c:tx>
            <c:v>p=1</c:v>
          </c:tx>
          <c:spPr>
            <a:ln w="19050" cap="rnd">
              <a:solidFill>
                <a:schemeClr val="bg2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Graphs!$A$201:$A$210</c:f>
              <c:numCache>
                <c:formatCode>"$"#,##0.00_);[Red]\("$"#,##0.00\)</c:formatCode>
                <c:ptCount val="10"/>
                <c:pt idx="0">
                  <c:v>5.8912768764526646</c:v>
                </c:pt>
                <c:pt idx="1">
                  <c:v>14.472420438757901</c:v>
                </c:pt>
                <c:pt idx="2">
                  <c:v>26.409370835797514</c:v>
                </c:pt>
                <c:pt idx="3">
                  <c:v>39.587992329115643</c:v>
                </c:pt>
                <c:pt idx="4">
                  <c:v>50.598227309543084</c:v>
                </c:pt>
                <c:pt idx="5">
                  <c:v>59.097679110401273</c:v>
                </c:pt>
                <c:pt idx="6">
                  <c:v>68.252251082837034</c:v>
                </c:pt>
                <c:pt idx="7">
                  <c:v>80.394146285084901</c:v>
                </c:pt>
                <c:pt idx="8">
                  <c:v>99.025330234032808</c:v>
                </c:pt>
                <c:pt idx="9">
                  <c:v>170.72651994707201</c:v>
                </c:pt>
              </c:numCache>
            </c:numRef>
          </c:xVal>
          <c:yVal>
            <c:numRef>
              <c:f>Graphs!$E$201:$E$210</c:f>
              <c:numCache>
                <c:formatCode>0.0000000</c:formatCode>
                <c:ptCount val="10"/>
                <c:pt idx="0">
                  <c:v>0</c:v>
                </c:pt>
                <c:pt idx="1">
                  <c:v>8.2976298861072606E-2</c:v>
                </c:pt>
                <c:pt idx="2">
                  <c:v>0.1385055018732958</c:v>
                </c:pt>
                <c:pt idx="3">
                  <c:v>0.17587802865170654</c:v>
                </c:pt>
                <c:pt idx="4">
                  <c:v>0.19853295192250653</c:v>
                </c:pt>
                <c:pt idx="5">
                  <c:v>0.21286823768265895</c:v>
                </c:pt>
                <c:pt idx="6">
                  <c:v>0.22616431659892644</c:v>
                </c:pt>
                <c:pt idx="7">
                  <c:v>0.24128026106409806</c:v>
                </c:pt>
                <c:pt idx="8">
                  <c:v>0.26052330273507174</c:v>
                </c:pt>
                <c:pt idx="9">
                  <c:v>0.31080984283113122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E37-8A42-8428-8BBB5DAA3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69728"/>
        <c:axId val="1638673792"/>
      </c:scatterChart>
      <c:valAx>
        <c:axId val="2616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</a:rPr>
                  <a:t>Annual income ($000's)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38673792"/>
        <c:crosses val="autoZero"/>
        <c:crossBetween val="midCat"/>
      </c:valAx>
      <c:valAx>
        <c:axId val="1638673792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</a:rPr>
                  <a:t>Scaled utility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616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Graphs!$A$117:$A$119</c:f>
              <c:strCache>
                <c:ptCount val="3"/>
                <c:pt idx="0">
                  <c:v>Prog universal</c:v>
                </c:pt>
                <c:pt idx="1">
                  <c:v>Base means-test</c:v>
                </c:pt>
                <c:pt idx="2">
                  <c:v>Prog means-test</c:v>
                </c:pt>
              </c:strCache>
            </c:strRef>
          </c:cat>
          <c:val>
            <c:numRef>
              <c:f>Graphs!$C$117:$C$119</c:f>
              <c:numCache>
                <c:formatCode>0.00000</c:formatCode>
                <c:ptCount val="3"/>
                <c:pt idx="0">
                  <c:v>4.5446916391065351</c:v>
                </c:pt>
                <c:pt idx="1">
                  <c:v>0.78201285527113029</c:v>
                </c:pt>
                <c:pt idx="2">
                  <c:v>4.7217708417366389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6-A644-AA7A-74862D741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172351"/>
        <c:axId val="967904320"/>
      </c:barChart>
      <c:catAx>
        <c:axId val="204817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967904320"/>
        <c:crosses val="autoZero"/>
        <c:auto val="1"/>
        <c:lblAlgn val="ctr"/>
        <c:lblOffset val="100"/>
        <c:noMultiLvlLbl val="0"/>
      </c:catAx>
      <c:valAx>
        <c:axId val="96790432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</a:rPr>
                  <a:t>Normalised weflare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04817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Graphs!$A$220</c:f>
              <c:strCache>
                <c:ptCount val="1"/>
                <c:pt idx="0">
                  <c:v>Base universal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Graphs!$B$220:$F$220</c:f>
              <c:numCache>
                <c:formatCode>0.00</c:formatCode>
                <c:ptCount val="5"/>
                <c:pt idx="0">
                  <c:v>0</c:v>
                </c:pt>
                <c:pt idx="1">
                  <c:v>0.29196943257153052</c:v>
                </c:pt>
                <c:pt idx="2">
                  <c:v>0.323030010504672</c:v>
                </c:pt>
                <c:pt idx="3">
                  <c:v>0.3540905884378136</c:v>
                </c:pt>
                <c:pt idx="4">
                  <c:v>0.37893905078432677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AD-1B40-A67C-55380D2F3294}"/>
            </c:ext>
          </c:extLst>
        </c:ser>
        <c:ser>
          <c:idx val="0"/>
          <c:order val="1"/>
          <c:tx>
            <c:strRef>
              <c:f>Graphs!$A$221</c:f>
              <c:strCache>
                <c:ptCount val="1"/>
                <c:pt idx="0">
                  <c:v>Base means-test</c:v>
                </c:pt>
              </c:strCache>
            </c:strRef>
          </c:tx>
          <c:spPr>
            <a:pattFill prst="ltUp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Graphs!$B$221:$F$221</c:f>
              <c:numCache>
                <c:formatCode>0.00</c:formatCode>
                <c:ptCount val="5"/>
                <c:pt idx="0">
                  <c:v>0</c:v>
                </c:pt>
                <c:pt idx="1">
                  <c:v>0.11678777302861221</c:v>
                </c:pt>
                <c:pt idx="2">
                  <c:v>0.12921200420186882</c:v>
                </c:pt>
                <c:pt idx="3">
                  <c:v>0.14163623537512546</c:v>
                </c:pt>
                <c:pt idx="4">
                  <c:v>0.15157562031373073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D-1B40-A67C-55380D2F3294}"/>
            </c:ext>
          </c:extLst>
        </c:ser>
        <c:ser>
          <c:idx val="2"/>
          <c:order val="2"/>
          <c:tx>
            <c:strRef>
              <c:f>Graphs!$A$222</c:f>
              <c:strCache>
                <c:ptCount val="1"/>
                <c:pt idx="0">
                  <c:v>Prog universal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val>
            <c:numRef>
              <c:f>Graphs!$B$222:$F$222</c:f>
              <c:numCache>
                <c:formatCode>0.00</c:formatCode>
                <c:ptCount val="5"/>
                <c:pt idx="0">
                  <c:v>0</c:v>
                </c:pt>
                <c:pt idx="1">
                  <c:v>9.374604966332635E-2</c:v>
                </c:pt>
                <c:pt idx="2">
                  <c:v>0.14731522089951285</c:v>
                </c:pt>
                <c:pt idx="3">
                  <c:v>0.25445356337188585</c:v>
                </c:pt>
                <c:pt idx="4">
                  <c:v>0.40176878427139867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AD-1B40-A67C-55380D2F3294}"/>
            </c:ext>
          </c:extLst>
        </c:ser>
        <c:ser>
          <c:idx val="1"/>
          <c:order val="3"/>
          <c:tx>
            <c:strRef>
              <c:f>Graphs!$A$223</c:f>
              <c:strCache>
                <c:ptCount val="1"/>
                <c:pt idx="0">
                  <c:v>Prog means-test</c:v>
                </c:pt>
              </c:strCache>
            </c:strRef>
          </c:tx>
          <c:spPr>
            <a:pattFill prst="ltUpDiag">
              <a:fgClr>
                <a:schemeClr val="accent4"/>
              </a:fgClr>
              <a:bgClr>
                <a:schemeClr val="bg1"/>
              </a:bgClr>
            </a:pattFill>
            <a:ln>
              <a:solidFill>
                <a:srgbClr val="00B0F0"/>
              </a:solidFill>
            </a:ln>
            <a:effectLst/>
          </c:spPr>
          <c:invertIfNegative val="0"/>
          <c:val>
            <c:numRef>
              <c:f>Graphs!$B$223:$F$223</c:f>
              <c:numCache>
                <c:formatCode>0.00</c:formatCode>
                <c:ptCount val="5"/>
                <c:pt idx="0">
                  <c:v>0</c:v>
                </c:pt>
                <c:pt idx="1">
                  <c:v>3.7498419865330541E-2</c:v>
                </c:pt>
                <c:pt idx="2">
                  <c:v>5.8926088359805152E-2</c:v>
                </c:pt>
                <c:pt idx="3">
                  <c:v>0.10178142534875433</c:v>
                </c:pt>
                <c:pt idx="4">
                  <c:v>0.16070751370855949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D-1B40-A67C-55380D2F3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33384"/>
        <c:axId val="1341620744"/>
      </c:barChart>
      <c:catAx>
        <c:axId val="173733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Verdana"/>
                    <a:cs typeface="Verdana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Quintiles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Verdana"/>
                  <a:cs typeface="Verdana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1341620744"/>
        <c:crosses val="autoZero"/>
        <c:auto val="1"/>
        <c:lblAlgn val="ctr"/>
        <c:lblOffset val="100"/>
        <c:noMultiLvlLbl val="0"/>
      </c:catAx>
      <c:valAx>
        <c:axId val="134162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Verdana"/>
                    <a:cs typeface="Verdana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Implied Effective Tax Rates</a:t>
                </a:r>
              </a:p>
            </c:rich>
          </c:tx>
          <c:layout>
            <c:manualLayout>
              <c:xMode val="edge"/>
              <c:yMode val="edge"/>
              <c:x val="1.8001135583087472E-2"/>
              <c:y val="0.102284568874676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Verdana"/>
                  <a:cs typeface="Verdana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17373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4818165889635233E-2"/>
          <c:y val="0.89106602123368428"/>
          <c:w val="0.9"/>
          <c:h val="7.7919218431029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Graphs!$A$238:$A$240</c:f>
              <c:strCache>
                <c:ptCount val="3"/>
                <c:pt idx="0">
                  <c:v>Prog universal</c:v>
                </c:pt>
                <c:pt idx="1">
                  <c:v>Base means-test</c:v>
                </c:pt>
                <c:pt idx="2">
                  <c:v>Prog means-test</c:v>
                </c:pt>
              </c:strCache>
            </c:strRef>
          </c:cat>
          <c:val>
            <c:numRef>
              <c:f>Graphs!$C$238:$C$240</c:f>
              <c:numCache>
                <c:formatCode>0.00</c:formatCode>
                <c:ptCount val="3"/>
                <c:pt idx="0">
                  <c:v>4.0343935143738463</c:v>
                </c:pt>
                <c:pt idx="1">
                  <c:v>-11.365988050044962</c:v>
                </c:pt>
                <c:pt idx="2">
                  <c:v>-9.0380547621293772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741-B128-0B6281118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8984071"/>
        <c:axId val="1488990215"/>
      </c:barChart>
      <c:catAx>
        <c:axId val="1488984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47474"/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1488990215"/>
        <c:crosses val="autoZero"/>
        <c:auto val="1"/>
        <c:lblAlgn val="ctr"/>
        <c:lblOffset val="100"/>
        <c:noMultiLvlLbl val="0"/>
      </c:catAx>
      <c:valAx>
        <c:axId val="1488990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Verdana"/>
                    <a:cs typeface="Verdana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Normalised welfare scores</a:t>
                </a:r>
              </a:p>
            </c:rich>
          </c:tx>
          <c:layout>
            <c:manualLayout>
              <c:xMode val="edge"/>
              <c:yMode val="edge"/>
              <c:x val="3.2430587089769959E-2"/>
              <c:y val="0.1452910223395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Verdana"/>
                  <a:cs typeface="Verdana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1488984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11988556732762"/>
          <c:y val="5.205046025721944E-2"/>
          <c:w val="0.83759610922664218"/>
          <c:h val="0.844739848297312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Graphs!$A$270:$A$272</c:f>
              <c:strCache>
                <c:ptCount val="3"/>
                <c:pt idx="0">
                  <c:v>Prog universal</c:v>
                </c:pt>
                <c:pt idx="1">
                  <c:v>Base means-test</c:v>
                </c:pt>
                <c:pt idx="2">
                  <c:v>Prog means-test</c:v>
                </c:pt>
              </c:strCache>
            </c:strRef>
          </c:cat>
          <c:val>
            <c:numRef>
              <c:f>Graphs!$C$270:$C$272</c:f>
              <c:numCache>
                <c:formatCode>0.000</c:formatCode>
                <c:ptCount val="3"/>
                <c:pt idx="0">
                  <c:v>1.6553800844976152</c:v>
                </c:pt>
                <c:pt idx="1">
                  <c:v>1.4369523735613399</c:v>
                </c:pt>
                <c:pt idx="2">
                  <c:v>2.0963892484715529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2-0B45-8314-001CCC6D0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324808"/>
        <c:axId val="758613000"/>
      </c:barChart>
      <c:catAx>
        <c:axId val="781324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758613000"/>
        <c:crosses val="autoZero"/>
        <c:auto val="1"/>
        <c:lblAlgn val="ctr"/>
        <c:lblOffset val="100"/>
        <c:noMultiLvlLbl val="0"/>
      </c:catAx>
      <c:valAx>
        <c:axId val="75861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baseline="0">
                    <a:latin typeface="Times New Roman" panose="02020603050405020304" pitchFamily="18" charset="0"/>
                  </a:rPr>
                  <a:t>Normalised weflare scores</a:t>
                </a:r>
              </a:p>
            </c:rich>
          </c:tx>
          <c:layout>
            <c:manualLayout>
              <c:xMode val="edge"/>
              <c:yMode val="edge"/>
              <c:x val="2.2430303721561747E-2"/>
              <c:y val="0.2090211607289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Verdana"/>
                <a:cs typeface="Verdana"/>
              </a:defRPr>
            </a:pPr>
            <a:endParaRPr lang="en-US"/>
          </a:p>
        </c:txPr>
        <c:crossAx val="781324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Graphs!$A$256:$A$258</c:f>
              <c:strCache>
                <c:ptCount val="3"/>
                <c:pt idx="0">
                  <c:v>Prog universal</c:v>
                </c:pt>
                <c:pt idx="1">
                  <c:v>Base means-test</c:v>
                </c:pt>
                <c:pt idx="2">
                  <c:v>Prog means-test</c:v>
                </c:pt>
              </c:strCache>
            </c:strRef>
          </c:cat>
          <c:val>
            <c:numRef>
              <c:f>Graphs!$C$256:$C$258</c:f>
              <c:numCache>
                <c:formatCode>General</c:formatCode>
                <c:ptCount val="3"/>
                <c:pt idx="0">
                  <c:v>1.0301301504611615</c:v>
                </c:pt>
                <c:pt idx="1">
                  <c:v>-2.9017169602241211</c:v>
                </c:pt>
                <c:pt idx="2">
                  <c:v>-2.3072960696701728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4-4E4B-99E6-8B2D9B508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825151"/>
        <c:axId val="2024826495"/>
      </c:barChart>
      <c:catAx>
        <c:axId val="20248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024826495"/>
        <c:crosses val="autoZero"/>
        <c:auto val="1"/>
        <c:lblAlgn val="ctr"/>
        <c:lblOffset val="100"/>
        <c:noMultiLvlLbl val="0"/>
      </c:catAx>
      <c:valAx>
        <c:axId val="202482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</a:rPr>
                  <a:t>Normalised welfare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02482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 universal</c:v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Graphs!$B$228:$F$228</c:f>
              <c:numCache>
                <c:formatCode>0.0000</c:formatCode>
                <c:ptCount val="5"/>
                <c:pt idx="0" formatCode="0.00">
                  <c:v>0</c:v>
                </c:pt>
                <c:pt idx="1">
                  <c:v>1.4598471628576526E-2</c:v>
                </c:pt>
                <c:pt idx="2">
                  <c:v>1.6151500525233602E-2</c:v>
                </c:pt>
                <c:pt idx="3">
                  <c:v>1.7704529421890682E-2</c:v>
                </c:pt>
                <c:pt idx="4">
                  <c:v>1.8946952539216341E-2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5-F744-8769-180FD7877B55}"/>
            </c:ext>
          </c:extLst>
        </c:ser>
        <c:ser>
          <c:idx val="1"/>
          <c:order val="1"/>
          <c:tx>
            <c:v>Base means-test</c:v>
          </c:tx>
          <c:spPr>
            <a:pattFill prst="ltUpDiag">
              <a:fgClr>
                <a:schemeClr val="bg2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Graphs!$B$229:$F$229</c:f>
              <c:numCache>
                <c:formatCode>0.0000</c:formatCode>
                <c:ptCount val="5"/>
                <c:pt idx="0" formatCode="0.00">
                  <c:v>0</c:v>
                </c:pt>
                <c:pt idx="1">
                  <c:v>5.8393886514306109E-3</c:v>
                </c:pt>
                <c:pt idx="2">
                  <c:v>6.4606002100934413E-3</c:v>
                </c:pt>
                <c:pt idx="3">
                  <c:v>7.0818117687562734E-3</c:v>
                </c:pt>
                <c:pt idx="4">
                  <c:v>7.5787810156865369E-3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E5-F744-8769-180FD7877B55}"/>
            </c:ext>
          </c:extLst>
        </c:ser>
        <c:ser>
          <c:idx val="2"/>
          <c:order val="2"/>
          <c:tx>
            <c:v>Prog universal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val>
            <c:numRef>
              <c:f>Graphs!$B$230:$F$230</c:f>
              <c:numCache>
                <c:formatCode>0.0000</c:formatCode>
                <c:ptCount val="5"/>
                <c:pt idx="0" formatCode="0.00">
                  <c:v>0</c:v>
                </c:pt>
                <c:pt idx="1">
                  <c:v>4.6873024831663177E-3</c:v>
                </c:pt>
                <c:pt idx="2">
                  <c:v>7.3657610449756432E-3</c:v>
                </c:pt>
                <c:pt idx="3">
                  <c:v>1.2722678168594292E-2</c:v>
                </c:pt>
                <c:pt idx="4">
                  <c:v>2.0088439213569936E-2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E5-F744-8769-180FD7877B55}"/>
            </c:ext>
          </c:extLst>
        </c:ser>
        <c:ser>
          <c:idx val="3"/>
          <c:order val="3"/>
          <c:tx>
            <c:v>Prog means-test</c:v>
          </c:tx>
          <c:spPr>
            <a:pattFill prst="ltUpDiag">
              <a:fgClr>
                <a:srgbClr val="00B0F0"/>
              </a:fgClr>
              <a:bgClr>
                <a:schemeClr val="bg1"/>
              </a:bgClr>
            </a:pattFill>
            <a:ln>
              <a:solidFill>
                <a:srgbClr val="00B0F0"/>
              </a:solidFill>
            </a:ln>
            <a:effectLst/>
          </c:spPr>
          <c:invertIfNegative val="0"/>
          <c:val>
            <c:numRef>
              <c:f>Graphs!$B$231:$F$231</c:f>
              <c:numCache>
                <c:formatCode>0.0000</c:formatCode>
                <c:ptCount val="5"/>
                <c:pt idx="0" formatCode="0.00">
                  <c:v>0</c:v>
                </c:pt>
                <c:pt idx="1">
                  <c:v>1.8749209932665272E-3</c:v>
                </c:pt>
                <c:pt idx="2">
                  <c:v>2.9463044179902577E-3</c:v>
                </c:pt>
                <c:pt idx="3">
                  <c:v>5.0890712674377166E-3</c:v>
                </c:pt>
                <c:pt idx="4">
                  <c:v>8.0353756854279739E-3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E5-F744-8769-180FD7877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218751"/>
        <c:axId val="2052213823"/>
      </c:barChart>
      <c:catAx>
        <c:axId val="205221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213823"/>
        <c:crosses val="autoZero"/>
        <c:auto val="1"/>
        <c:lblAlgn val="ctr"/>
        <c:lblOffset val="100"/>
        <c:noMultiLvlLbl val="0"/>
      </c:catAx>
      <c:valAx>
        <c:axId val="205221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</a:rPr>
                  <a:t>Implied effective tax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05221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Graphs!$A$201:$A$210</c:f>
              <c:numCache>
                <c:formatCode>"$"#,##0.00_);[Red]\("$"#,##0.00\)</c:formatCode>
                <c:ptCount val="10"/>
                <c:pt idx="0">
                  <c:v>5.8912768764526646</c:v>
                </c:pt>
                <c:pt idx="1">
                  <c:v>14.472420438757901</c:v>
                </c:pt>
                <c:pt idx="2">
                  <c:v>26.409370835797514</c:v>
                </c:pt>
                <c:pt idx="3">
                  <c:v>39.587992329115643</c:v>
                </c:pt>
                <c:pt idx="4">
                  <c:v>50.598227309543084</c:v>
                </c:pt>
                <c:pt idx="5">
                  <c:v>59.097679110401273</c:v>
                </c:pt>
                <c:pt idx="6">
                  <c:v>68.252251082837034</c:v>
                </c:pt>
                <c:pt idx="7">
                  <c:v>80.394146285084901</c:v>
                </c:pt>
                <c:pt idx="8">
                  <c:v>99.025330234032808</c:v>
                </c:pt>
                <c:pt idx="9">
                  <c:v>170.72651994707201</c:v>
                </c:pt>
              </c:numCache>
            </c:numRef>
          </c:xVal>
          <c:yVal>
            <c:numRef>
              <c:f>Graphs!$B$201:$B$210</c:f>
              <c:numCache>
                <c:formatCode>0.0000000</c:formatCode>
                <c:ptCount val="10"/>
                <c:pt idx="0">
                  <c:v>0.99983025751106747</c:v>
                </c:pt>
                <c:pt idx="1">
                  <c:v>0.99993090305769983</c:v>
                </c:pt>
                <c:pt idx="2">
                  <c:v>0.99996213465264971</c:v>
                </c:pt>
                <c:pt idx="3">
                  <c:v>0.99997473981525287</c:v>
                </c:pt>
                <c:pt idx="4">
                  <c:v>0.99998023646176615</c:v>
                </c:pt>
                <c:pt idx="5">
                  <c:v>0.99998307886172433</c:v>
                </c:pt>
                <c:pt idx="6">
                  <c:v>0.99998534846859799</c:v>
                </c:pt>
                <c:pt idx="7">
                  <c:v>0.99998756128342414</c:v>
                </c:pt>
                <c:pt idx="8">
                  <c:v>0.99998990157369194</c:v>
                </c:pt>
                <c:pt idx="9">
                  <c:v>0.99999414267917885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7D-A046-B23B-59545C56E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69728"/>
        <c:axId val="1638673792"/>
      </c:scatterChart>
      <c:valAx>
        <c:axId val="2616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</a:rPr>
                  <a:t>Annual income ($000's)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38673792"/>
        <c:crosses val="autoZero"/>
        <c:crossBetween val="midCat"/>
      </c:valAx>
      <c:valAx>
        <c:axId val="16386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GB" baseline="0">
                    <a:latin typeface="Times New Roman" panose="02020603050405020304" pitchFamily="18" charset="0"/>
                  </a:rPr>
                  <a:t>Scaled utility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2616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-638175</xdr:colOff>
      <xdr:row>10</xdr:row>
      <xdr:rowOff>123825</xdr:rowOff>
    </xdr:from>
    <xdr:to>
      <xdr:col>0</xdr:col>
      <xdr:colOff>-638175</xdr:colOff>
      <xdr:row>10</xdr:row>
      <xdr:rowOff>123825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29CFB53-6EA0-3008-F429-508CD264533B}"/>
            </a:ext>
            <a:ext uri="{147F2762-F138-4A5C-976F-8EAC2B608ADB}">
              <a16:predDERef xmlns:a16="http://schemas.microsoft.com/office/drawing/2014/main" pred="{3AF24032-AF0B-2439-7710-289BF66C2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65718</xdr:colOff>
      <xdr:row>23</xdr:row>
      <xdr:rowOff>0</xdr:rowOff>
    </xdr:from>
    <xdr:to>
      <xdr:col>11</xdr:col>
      <xdr:colOff>465540</xdr:colOff>
      <xdr:row>36</xdr:row>
      <xdr:rowOff>68763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A64FC-867A-6B4B-805E-451D345945A1}"/>
            </a:ext>
            <a:ext uri="{147F2762-F138-4A5C-976F-8EAC2B608ADB}">
              <a16:predDERef xmlns:a16="http://schemas.microsoft.com/office/drawing/2014/main" pred="{0FA2C0F4-EBEA-47AA-95D7-1863B8145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30642</xdr:colOff>
      <xdr:row>42</xdr:row>
      <xdr:rowOff>25400</xdr:rowOff>
    </xdr:from>
    <xdr:to>
      <xdr:col>12</xdr:col>
      <xdr:colOff>380127</xdr:colOff>
      <xdr:row>56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31B4E5-CD6E-2245-B360-6E117A61979F}"/>
            </a:ext>
            <a:ext uri="{147F2762-F138-4A5C-976F-8EAC2B608ADB}">
              <a16:predDERef xmlns:a16="http://schemas.microsoft.com/office/drawing/2014/main" pred="{31238F46-7DCF-99C9-DBA9-077617EDE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103815</xdr:colOff>
      <xdr:row>42</xdr:row>
      <xdr:rowOff>25400</xdr:rowOff>
    </xdr:from>
    <xdr:to>
      <xdr:col>20</xdr:col>
      <xdr:colOff>395915</xdr:colOff>
      <xdr:row>56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3D3817-878D-B744-B931-60FC73BAE1F2}"/>
            </a:ext>
            <a:ext uri="{147F2762-F138-4A5C-976F-8EAC2B608ADB}">
              <a16:predDERef xmlns:a16="http://schemas.microsoft.com/office/drawing/2014/main" pred="{422AC538-5ABC-44BA-9B62-26DB67D26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80633</xdr:colOff>
      <xdr:row>58</xdr:row>
      <xdr:rowOff>0</xdr:rowOff>
    </xdr:from>
    <xdr:to>
      <xdr:col>13</xdr:col>
      <xdr:colOff>255611</xdr:colOff>
      <xdr:row>72</xdr:row>
      <xdr:rowOff>174977</xdr:rowOff>
    </xdr:to>
    <xdr:graphicFrame macro="">
      <xdr:nvGraphicFramePr>
        <xdr:cNvPr id="6" name="Chart 8">
          <a:extLst>
            <a:ext uri="{FF2B5EF4-FFF2-40B4-BE49-F238E27FC236}">
              <a16:creationId xmlns:a16="http://schemas.microsoft.com/office/drawing/2014/main" id="{547EE6FD-9CCA-FE4E-978C-E054C12A8764}"/>
            </a:ext>
            <a:ext uri="{147F2762-F138-4A5C-976F-8EAC2B608ADB}">
              <a16:predDERef xmlns:a16="http://schemas.microsoft.com/office/drawing/2014/main" pred="{12DA503B-3E7D-3962-317E-9540E5BD5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20159</xdr:colOff>
      <xdr:row>75</xdr:row>
      <xdr:rowOff>161269</xdr:rowOff>
    </xdr:from>
    <xdr:to>
      <xdr:col>12</xdr:col>
      <xdr:colOff>426559</xdr:colOff>
      <xdr:row>94</xdr:row>
      <xdr:rowOff>56041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24A6A6-F898-7048-ACC9-77E51A79FCBB}"/>
            </a:ext>
            <a:ext uri="{147F2762-F138-4A5C-976F-8EAC2B608ADB}">
              <a16:predDERef xmlns:a16="http://schemas.microsoft.com/office/drawing/2014/main" pred="{930C7303-0A0E-45C8-BD51-8A5503CE3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20159</xdr:colOff>
      <xdr:row>97</xdr:row>
      <xdr:rowOff>20159</xdr:rowOff>
    </xdr:from>
    <xdr:to>
      <xdr:col>13</xdr:col>
      <xdr:colOff>142638</xdr:colOff>
      <xdr:row>110</xdr:row>
      <xdr:rowOff>92493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F8A442-CF56-8F4E-A71D-F13E4483EFA8}"/>
            </a:ext>
            <a:ext uri="{147F2762-F138-4A5C-976F-8EAC2B608ADB}">
              <a16:predDERef xmlns:a16="http://schemas.microsoft.com/office/drawing/2014/main" pred="{C7952881-B428-9621-B5D0-3F26D8ABE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127</xdr:row>
      <xdr:rowOff>0</xdr:rowOff>
    </xdr:from>
    <xdr:to>
      <xdr:col>11</xdr:col>
      <xdr:colOff>762000</xdr:colOff>
      <xdr:row>142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A35335E-3C06-EF42-A8ED-5DD6DD5E42C3}"/>
            </a:ext>
            <a:ext uri="{147F2762-F138-4A5C-976F-8EAC2B608ADB}">
              <a16:predDERef xmlns:a16="http://schemas.microsoft.com/office/drawing/2014/main" pred="{C9DAC66F-1590-4951-A9D7-D7C271CEF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145</xdr:row>
      <xdr:rowOff>0</xdr:rowOff>
    </xdr:from>
    <xdr:to>
      <xdr:col>11</xdr:col>
      <xdr:colOff>354378</xdr:colOff>
      <xdr:row>160</xdr:row>
      <xdr:rowOff>43923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115BB9B-1342-4A47-A647-E3E79F04C61D}"/>
            </a:ext>
            <a:ext uri="{147F2762-F138-4A5C-976F-8EAC2B608ADB}">
              <a16:predDERef xmlns:a16="http://schemas.microsoft.com/office/drawing/2014/main" pred="{75013F5F-75BC-7056-690F-FE2F0C250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831546</xdr:colOff>
      <xdr:row>163</xdr:row>
      <xdr:rowOff>0</xdr:rowOff>
    </xdr:from>
    <xdr:to>
      <xdr:col>11</xdr:col>
      <xdr:colOff>332618</xdr:colOff>
      <xdr:row>178</xdr:row>
      <xdr:rowOff>42446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DBDC188-9971-214F-B511-C108FB8B954D}"/>
            </a:ext>
            <a:ext uri="{147F2762-F138-4A5C-976F-8EAC2B608ADB}">
              <a16:predDERef xmlns:a16="http://schemas.microsoft.com/office/drawing/2014/main" pred="{B156CD47-050D-BB76-66FF-A7806D43B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460664</xdr:colOff>
      <xdr:row>181</xdr:row>
      <xdr:rowOff>164715</xdr:rowOff>
    </xdr:from>
    <xdr:to>
      <xdr:col>10</xdr:col>
      <xdr:colOff>627061</xdr:colOff>
      <xdr:row>195</xdr:row>
      <xdr:rowOff>178400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20882E-9783-2D49-A1FB-A4A799AA4109}"/>
            </a:ext>
            <a:ext uri="{147F2762-F138-4A5C-976F-8EAC2B608ADB}">
              <a16:predDERef xmlns:a16="http://schemas.microsoft.com/office/drawing/2014/main" pred="{6C2B2EE8-3136-A396-EF35-4B30E0D94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812970</xdr:colOff>
      <xdr:row>197</xdr:row>
      <xdr:rowOff>83022</xdr:rowOff>
    </xdr:from>
    <xdr:to>
      <xdr:col>12</xdr:col>
      <xdr:colOff>451048</xdr:colOff>
      <xdr:row>212</xdr:row>
      <xdr:rowOff>13778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223AEDE-F51A-FCCB-BCDB-EF0F9D589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23091</xdr:colOff>
      <xdr:row>112</xdr:row>
      <xdr:rowOff>21070</xdr:rowOff>
    </xdr:from>
    <xdr:to>
      <xdr:col>10</xdr:col>
      <xdr:colOff>482022</xdr:colOff>
      <xdr:row>123</xdr:row>
      <xdr:rowOff>101022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6487D11-A310-C270-DF8D-67CC44E92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0</xdr:colOff>
      <xdr:row>217</xdr:row>
      <xdr:rowOff>0</xdr:rowOff>
    </xdr:from>
    <xdr:to>
      <xdr:col>13</xdr:col>
      <xdr:colOff>497801</xdr:colOff>
      <xdr:row>231</xdr:row>
      <xdr:rowOff>53110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DCC2E46-8509-2C42-A618-D17167CF2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234</xdr:row>
      <xdr:rowOff>0</xdr:rowOff>
    </xdr:from>
    <xdr:to>
      <xdr:col>10</xdr:col>
      <xdr:colOff>287193</xdr:colOff>
      <xdr:row>248</xdr:row>
      <xdr:rowOff>57343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7231800-F2D6-8243-9872-1E62855D26B2}"/>
            </a:ext>
            <a:ext uri="{147F2762-F138-4A5C-976F-8EAC2B608ADB}">
              <a16:predDERef xmlns:a16="http://schemas.microsoft.com/office/drawing/2014/main" pred="{75F7EFD0-BF1F-66EC-D700-431E23899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0</xdr:colOff>
      <xdr:row>267</xdr:row>
      <xdr:rowOff>0</xdr:rowOff>
    </xdr:from>
    <xdr:to>
      <xdr:col>10</xdr:col>
      <xdr:colOff>160027</xdr:colOff>
      <xdr:row>281</xdr:row>
      <xdr:rowOff>161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978C24C-4D91-494D-9C5E-2ADDA1629E9A}"/>
            </a:ext>
            <a:ext uri="{147F2762-F138-4A5C-976F-8EAC2B608ADB}">
              <a16:predDERef xmlns:a16="http://schemas.microsoft.com/office/drawing/2014/main" pred="{4E38FD05-A678-223B-1044-04E474ACF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817113</xdr:colOff>
      <xdr:row>250</xdr:row>
      <xdr:rowOff>144013</xdr:rowOff>
    </xdr:from>
    <xdr:to>
      <xdr:col>9</xdr:col>
      <xdr:colOff>369019</xdr:colOff>
      <xdr:row>265</xdr:row>
      <xdr:rowOff>11741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19E721C-3A01-0342-E6AF-AEB022269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637397</xdr:colOff>
      <xdr:row>217</xdr:row>
      <xdr:rowOff>240</xdr:rowOff>
    </xdr:from>
    <xdr:to>
      <xdr:col>19</xdr:col>
      <xdr:colOff>249208</xdr:colOff>
      <xdr:row>231</xdr:row>
      <xdr:rowOff>59666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5D00B72-DDD2-DBE8-465A-9CBF06025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154878</xdr:colOff>
      <xdr:row>197</xdr:row>
      <xdr:rowOff>154877</xdr:rowOff>
    </xdr:from>
    <xdr:to>
      <xdr:col>20</xdr:col>
      <xdr:colOff>613810</xdr:colOff>
      <xdr:row>212</xdr:row>
      <xdr:rowOff>85633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8CFD813-7D4F-844B-8BC6-892EB6479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rkandincome.govt.nz/map/deskfile/nz-superannuation-and-veterans-pension-tables/new-zealand-superannuation-and-veterans-pension-ra.html" TargetMode="External"/><Relationship Id="rId3" Type="http://schemas.openxmlformats.org/officeDocument/2006/relationships/hyperlink" Target="https://explore.data.stats.govt.nz/vis?tm=relationship&amp;pg=0&amp;snb=14&amp;df%5bds%5d=ds-nsiws-disseminate&amp;df%5bid%5d=CEN23_POP_008&amp;df%5bag%5d=STATSNZ&amp;df%5bvs%5d=1.0&amp;dq=2013%2B2018%2B2023.9999%2B99999%2B999999.99...99&amp;to%5bTIME%5d=false" TargetMode="External"/><Relationship Id="rId7" Type="http://schemas.openxmlformats.org/officeDocument/2006/relationships/hyperlink" Target="https://www.workandincome.govt.nz/map/deskfile/nz-superannuation-and-veterans-pension-tables/new-zealand-superannuation-and-veterans-pension-ra.html" TargetMode="External"/><Relationship Id="rId2" Type="http://schemas.openxmlformats.org/officeDocument/2006/relationships/hyperlink" Target="https://www.stats.govt.nz/news/income-growth-for-wage-and-salary-earners-remains-strong/" TargetMode="External"/><Relationship Id="rId1" Type="http://schemas.openxmlformats.org/officeDocument/2006/relationships/hyperlink" Target="https://www.stats.govt.nz/news/annual-inflation-at-2-7-percent-in-june-2025/" TargetMode="External"/><Relationship Id="rId6" Type="http://schemas.openxmlformats.org/officeDocument/2006/relationships/hyperlink" Target="https://infoshare.stats.govt.nz/SelectVariables.aspx?pxID=a3faf5f4-e39a-4dbb-be8e-f81723992bcb" TargetMode="External"/><Relationship Id="rId5" Type="http://schemas.openxmlformats.org/officeDocument/2006/relationships/hyperlink" Target="https://infoshare.stats.govt.nz/ViewTable.aspx?pxID=a16e84d4-00a9-41d6-8a4a-8bf771bd2d2d" TargetMode="External"/><Relationship Id="rId4" Type="http://schemas.openxmlformats.org/officeDocument/2006/relationships/hyperlink" Target="https://explore.data.stats.govt.nz/vis?tm=relationship&amp;pg=0&amp;snb=14&amp;df%5bds%5d=ds-nsiws-disseminate&amp;df%5bid%5d=CEN23_POP_008&amp;df%5bag%5d=STATSNZ&amp;df%5bvs%5d=1.0&amp;dq=2013%2B2018%2B2023.9999%2B99999%2B999999.99...99&amp;to%5bTIME%5d=false" TargetMode="External"/><Relationship Id="rId9" Type="http://schemas.openxmlformats.org/officeDocument/2006/relationships/hyperlink" Target="https://explore.data.stats.govt.nz/vis?fs%5b0%5d=Society%2C1%7CPopulation%20projections%23CAT_POPULATION_PROJECTIONS%23%7CNational%20population%20projections%23CAT_NATIONAL_POPULATION_PROJECTIONS%23&amp;pg=0&amp;fc=Society&amp;bp=true&amp;snb=9&amp;df%5bds%5d=ds-nsiws-disseminate&amp;df%5bid%5d=POPPR_NAT_007&amp;df%5bag%5d=STATSNZ&amp;df%5bvs%5d=1.0&amp;dq=.2025%2B2040%2B2060%2B2078.SEX3.AGE6500%2BAGE4064%2BAGE1539%2BTOTALALLAGES&amp;ly%5brw%5d=YEAR_POPPR_NAT_007&amp;ly%5bcl%5d=SCENARIO_POPPR_NAT_007&amp;to%5bTIME%5d=fals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9D0D-035D-4177-8A39-4B6E2F11990C}">
  <dimension ref="A1:L49"/>
  <sheetViews>
    <sheetView workbookViewId="0">
      <selection activeCell="B52" sqref="B52"/>
    </sheetView>
  </sheetViews>
  <sheetFormatPr baseColWidth="10" defaultColWidth="8.83203125" defaultRowHeight="15" x14ac:dyDescent="0.2"/>
  <cols>
    <col min="1" max="1" width="27.5" bestFit="1" customWidth="1"/>
    <col min="2" max="2" width="21.6640625" bestFit="1" customWidth="1"/>
    <col min="3" max="3" width="41.5" customWidth="1"/>
    <col min="4" max="4" width="38.6640625" customWidth="1"/>
    <col min="5" max="5" width="25.33203125" customWidth="1"/>
    <col min="6" max="6" width="34" customWidth="1"/>
  </cols>
  <sheetData>
    <row r="1" spans="1:12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160</v>
      </c>
    </row>
    <row r="2" spans="1:12" x14ac:dyDescent="0.2">
      <c r="A2" t="s">
        <v>7</v>
      </c>
      <c r="B2" s="8">
        <v>0.78100000000000003</v>
      </c>
      <c r="C2" t="s">
        <v>8</v>
      </c>
      <c r="D2" s="1" t="s">
        <v>9</v>
      </c>
      <c r="E2" t="s">
        <v>10</v>
      </c>
    </row>
    <row r="3" spans="1:12" x14ac:dyDescent="0.2">
      <c r="A3" t="s">
        <v>11</v>
      </c>
      <c r="B3" s="8">
        <v>0.249</v>
      </c>
      <c r="C3" t="s">
        <v>12</v>
      </c>
      <c r="D3" s="1" t="s">
        <v>13</v>
      </c>
      <c r="E3" t="s">
        <v>14</v>
      </c>
    </row>
    <row r="4" spans="1:12" x14ac:dyDescent="0.2">
      <c r="A4" t="s">
        <v>15</v>
      </c>
      <c r="B4" s="6">
        <f>519.47*52</f>
        <v>27012.440000000002</v>
      </c>
      <c r="C4" t="s">
        <v>16</v>
      </c>
      <c r="D4" s="1" t="s">
        <v>2</v>
      </c>
    </row>
    <row r="5" spans="1:12" x14ac:dyDescent="0.2">
      <c r="A5" t="s">
        <v>17</v>
      </c>
      <c r="B5">
        <f>399.59*52</f>
        <v>20778.68</v>
      </c>
      <c r="C5" t="s">
        <v>18</v>
      </c>
      <c r="D5" s="1" t="s">
        <v>2</v>
      </c>
    </row>
    <row r="6" spans="1:12" x14ac:dyDescent="0.2">
      <c r="A6" t="s">
        <v>19</v>
      </c>
      <c r="B6" s="5">
        <v>2.5999999999999999E-2</v>
      </c>
      <c r="C6" t="s">
        <v>20</v>
      </c>
      <c r="D6" s="1" t="s">
        <v>0</v>
      </c>
    </row>
    <row r="7" spans="1:12" x14ac:dyDescent="0.2">
      <c r="A7" t="s">
        <v>21</v>
      </c>
      <c r="B7" s="5">
        <v>3.6880000000000003E-2</v>
      </c>
      <c r="C7" t="s">
        <v>22</v>
      </c>
      <c r="D7" s="1" t="s">
        <v>1</v>
      </c>
    </row>
    <row r="8" spans="1:12" x14ac:dyDescent="0.2">
      <c r="A8" t="s">
        <v>225</v>
      </c>
      <c r="B8" s="5">
        <f>(B7-B6) + 1</f>
        <v>1.01088</v>
      </c>
      <c r="C8" t="s">
        <v>247</v>
      </c>
      <c r="D8" s="1"/>
    </row>
    <row r="9" spans="1:12" x14ac:dyDescent="0.2">
      <c r="A9" t="s">
        <v>23</v>
      </c>
      <c r="B9" s="5">
        <v>0.57999999999999996</v>
      </c>
      <c r="D9" s="1" t="s">
        <v>24</v>
      </c>
    </row>
    <row r="10" spans="1:12" x14ac:dyDescent="0.2">
      <c r="A10" t="s">
        <v>25</v>
      </c>
      <c r="B10" s="5">
        <v>0.42</v>
      </c>
      <c r="D10" s="1" t="s">
        <v>24</v>
      </c>
    </row>
    <row r="11" spans="1:12" x14ac:dyDescent="0.2">
      <c r="A11" t="s">
        <v>26</v>
      </c>
      <c r="B11" s="5">
        <v>0.05</v>
      </c>
      <c r="D11" s="25"/>
    </row>
    <row r="14" spans="1:12" s="2" customFormat="1" x14ac:dyDescent="0.2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I14" s="4"/>
      <c r="K14"/>
      <c r="L14"/>
    </row>
    <row r="15" spans="1:12" x14ac:dyDescent="0.2">
      <c r="A15">
        <v>1</v>
      </c>
      <c r="B15">
        <f>798.1*1000000</f>
        <v>798100000</v>
      </c>
      <c r="C15">
        <f>'Revenue share calc'!E2</f>
        <v>3.6096393698449797E-3</v>
      </c>
      <c r="D15">
        <f>'Revenue share calc'!H2</f>
        <v>0</v>
      </c>
      <c r="E15">
        <f t="shared" ref="E15:E24" si="0">F15/55</f>
        <v>0.18181818181818182</v>
      </c>
      <c r="F15">
        <v>10</v>
      </c>
      <c r="K15" s="4"/>
    </row>
    <row r="16" spans="1:12" x14ac:dyDescent="0.2">
      <c r="A16">
        <v>2</v>
      </c>
      <c r="B16">
        <f>3618.3*1000000</f>
        <v>3618300000</v>
      </c>
      <c r="C16">
        <f>'Revenue share calc'!E3</f>
        <v>1.4401036406566694E-2</v>
      </c>
      <c r="D16">
        <f>'Revenue share calc'!H3</f>
        <v>3.4800777499171295E-3</v>
      </c>
      <c r="E16">
        <f t="shared" si="0"/>
        <v>0.16363636363636364</v>
      </c>
      <c r="F16">
        <v>9</v>
      </c>
      <c r="K16" s="4"/>
    </row>
    <row r="17" spans="1:11" x14ac:dyDescent="0.2">
      <c r="A17">
        <v>3</v>
      </c>
      <c r="B17">
        <f>7546.1*1000000</f>
        <v>7546100000</v>
      </c>
      <c r="C17">
        <f>'Revenue share calc'!E4</f>
        <v>3.1399077404942015E-2</v>
      </c>
      <c r="D17">
        <f>'Revenue share calc'!H4</f>
        <v>1.0886748490444263E-2</v>
      </c>
      <c r="E17">
        <f t="shared" si="0"/>
        <v>0.14545454545454545</v>
      </c>
      <c r="F17">
        <v>8</v>
      </c>
      <c r="K17" s="4"/>
    </row>
    <row r="18" spans="1:11" x14ac:dyDescent="0.2">
      <c r="A18">
        <v>4</v>
      </c>
      <c r="B18">
        <f>11905.5*1000000</f>
        <v>11905500000</v>
      </c>
      <c r="C18">
        <f>'Revenue share calc'!E5</f>
        <v>5.1692242898110294E-2</v>
      </c>
      <c r="D18">
        <f>'Revenue share calc'!H5</f>
        <v>2.2901398806974758E-2</v>
      </c>
      <c r="E18">
        <f t="shared" si="0"/>
        <v>0.12727272727272726</v>
      </c>
      <c r="F18">
        <v>7</v>
      </c>
      <c r="K18" s="4"/>
    </row>
    <row r="19" spans="1:11" x14ac:dyDescent="0.2">
      <c r="A19">
        <v>5</v>
      </c>
      <c r="B19">
        <f>15606.1*1000000</f>
        <v>15606100000</v>
      </c>
      <c r="C19">
        <f>'Revenue share calc'!E6</f>
        <v>7.0583126136746943E-2</v>
      </c>
      <c r="D19">
        <f>'Revenue share calc'!H6</f>
        <v>3.7524833052111288E-2</v>
      </c>
      <c r="E19">
        <f t="shared" si="0"/>
        <v>0.10909090909090909</v>
      </c>
      <c r="F19">
        <v>6</v>
      </c>
      <c r="K19" s="4"/>
    </row>
    <row r="20" spans="1:11" x14ac:dyDescent="0.2">
      <c r="A20" s="2">
        <v>6</v>
      </c>
      <c r="B20">
        <f>18610.5*1000000</f>
        <v>18610500000</v>
      </c>
      <c r="C20">
        <f>'Revenue share calc'!E7</f>
        <v>9.0905110853151228E-2</v>
      </c>
      <c r="D20">
        <f>'Revenue share calc'!H7</f>
        <v>5.3698687476024153E-2</v>
      </c>
      <c r="E20">
        <f t="shared" si="0"/>
        <v>9.0909090909090912E-2</v>
      </c>
      <c r="F20">
        <v>5</v>
      </c>
      <c r="K20" s="4"/>
    </row>
    <row r="21" spans="1:11" x14ac:dyDescent="0.2">
      <c r="A21">
        <v>7</v>
      </c>
      <c r="B21" s="8">
        <f>21785.7*1000000</f>
        <v>21785700000</v>
      </c>
      <c r="C21">
        <f>'Revenue share calc'!E8</f>
        <v>0.11035602414482847</v>
      </c>
      <c r="D21">
        <f>'Revenue share calc'!H8</f>
        <v>8.3813868210341438E-2</v>
      </c>
      <c r="E21">
        <f t="shared" si="0"/>
        <v>7.2727272727272724E-2</v>
      </c>
      <c r="F21">
        <v>4</v>
      </c>
      <c r="K21" s="4"/>
    </row>
    <row r="22" spans="1:11" x14ac:dyDescent="0.2">
      <c r="A22">
        <v>8</v>
      </c>
      <c r="B22" s="8">
        <f>25966.5*1000000</f>
        <v>25966500000</v>
      </c>
      <c r="C22">
        <f>'Revenue share calc'!E9</f>
        <v>0.13623161609900061</v>
      </c>
      <c r="D22">
        <f>'Revenue share calc'!H9</f>
        <v>0.13736006243615159</v>
      </c>
      <c r="E22">
        <f t="shared" si="0"/>
        <v>5.4545454545454543E-2</v>
      </c>
      <c r="F22">
        <v>3</v>
      </c>
      <c r="K22" s="4"/>
    </row>
    <row r="23" spans="1:11" x14ac:dyDescent="0.2">
      <c r="A23">
        <v>9</v>
      </c>
      <c r="B23" s="8">
        <f>32317.2*1000000</f>
        <v>32317200000</v>
      </c>
      <c r="C23">
        <f>'Revenue share calc'!E10</f>
        <v>0.17539672338276532</v>
      </c>
      <c r="D23">
        <f>'Revenue share calc'!H10</f>
        <v>0.21757858127224192</v>
      </c>
      <c r="E23">
        <f t="shared" si="0"/>
        <v>3.6363636363636362E-2</v>
      </c>
      <c r="F23">
        <v>2</v>
      </c>
      <c r="K23" s="4"/>
    </row>
    <row r="24" spans="1:11" x14ac:dyDescent="0.2">
      <c r="A24">
        <v>10</v>
      </c>
      <c r="B24" s="8">
        <f>56243*1000000</f>
        <v>56243000000</v>
      </c>
      <c r="C24">
        <f>'Revenue share calc'!E11</f>
        <v>0.31542540330404345</v>
      </c>
      <c r="D24">
        <f>'Revenue share calc'!H11</f>
        <v>0.43275574250579357</v>
      </c>
      <c r="E24">
        <f t="shared" si="0"/>
        <v>1.8181818181818181E-2</v>
      </c>
      <c r="F24">
        <v>1</v>
      </c>
    </row>
    <row r="25" spans="1:11" x14ac:dyDescent="0.2">
      <c r="A25" t="s">
        <v>248</v>
      </c>
      <c r="B25" s="4"/>
    </row>
    <row r="28" spans="1:11" x14ac:dyDescent="0.2">
      <c r="A28" t="s">
        <v>229</v>
      </c>
    </row>
    <row r="29" spans="1:11" s="2" customFormat="1" x14ac:dyDescent="0.2">
      <c r="A29" s="2" t="s">
        <v>33</v>
      </c>
      <c r="B29" s="2" t="s">
        <v>34</v>
      </c>
      <c r="C29" s="2" t="s">
        <v>35</v>
      </c>
      <c r="D29" s="2" t="s">
        <v>36</v>
      </c>
      <c r="E29" s="2" t="s">
        <v>26</v>
      </c>
      <c r="F29" s="2" t="s">
        <v>37</v>
      </c>
      <c r="G29" s="2" t="s">
        <v>38</v>
      </c>
    </row>
    <row r="30" spans="1:11" x14ac:dyDescent="0.2">
      <c r="A30">
        <v>1</v>
      </c>
      <c r="B30">
        <v>-3546560000</v>
      </c>
      <c r="C30" s="3">
        <v>11832606000</v>
      </c>
      <c r="D30">
        <v>0</v>
      </c>
      <c r="E30">
        <v>0</v>
      </c>
      <c r="F30">
        <v>1</v>
      </c>
      <c r="G30">
        <f>F30/15</f>
        <v>6.6666666666666666E-2</v>
      </c>
    </row>
    <row r="31" spans="1:11" x14ac:dyDescent="0.2">
      <c r="A31">
        <v>2</v>
      </c>
      <c r="B31">
        <v>59384533000</v>
      </c>
      <c r="C31" s="3">
        <v>39772526000</v>
      </c>
      <c r="D31" s="8">
        <f>B31-C31</f>
        <v>19612007000</v>
      </c>
      <c r="E31">
        <f>D31*$B$11</f>
        <v>980600350</v>
      </c>
      <c r="F31">
        <v>2</v>
      </c>
      <c r="G31">
        <f t="shared" ref="G31:G34" si="1">F31/15</f>
        <v>0.13333333333333333</v>
      </c>
    </row>
    <row r="32" spans="1:11" x14ac:dyDescent="0.2">
      <c r="A32">
        <v>3</v>
      </c>
      <c r="B32">
        <v>213316981000</v>
      </c>
      <c r="C32" s="3">
        <v>182423471000</v>
      </c>
      <c r="D32" s="8">
        <f t="shared" ref="D32:D34" si="2">B32-C32</f>
        <v>30893510000</v>
      </c>
      <c r="E32">
        <f>D32*$B$11</f>
        <v>1544675500</v>
      </c>
      <c r="F32">
        <v>3</v>
      </c>
      <c r="G32" s="16">
        <f t="shared" si="1"/>
        <v>0.2</v>
      </c>
    </row>
    <row r="33" spans="1:7" x14ac:dyDescent="0.2">
      <c r="A33">
        <v>4</v>
      </c>
      <c r="B33">
        <v>426978284000</v>
      </c>
      <c r="C33" s="3">
        <v>296903566000</v>
      </c>
      <c r="D33" s="8">
        <f t="shared" si="2"/>
        <v>130074718000</v>
      </c>
      <c r="E33">
        <f>D33*$B$11</f>
        <v>6503735900</v>
      </c>
      <c r="F33">
        <v>4</v>
      </c>
      <c r="G33">
        <f t="shared" si="1"/>
        <v>0.26666666666666666</v>
      </c>
    </row>
    <row r="34" spans="1:7" x14ac:dyDescent="0.2">
      <c r="A34">
        <v>5</v>
      </c>
      <c r="B34">
        <v>1371364554000</v>
      </c>
      <c r="C34">
        <v>395607963000</v>
      </c>
      <c r="D34" s="8">
        <f t="shared" si="2"/>
        <v>975756591000</v>
      </c>
      <c r="E34">
        <f>D34*$B$11</f>
        <v>48787829550</v>
      </c>
      <c r="F34">
        <v>5</v>
      </c>
      <c r="G34">
        <f t="shared" si="1"/>
        <v>0.33333333333333331</v>
      </c>
    </row>
    <row r="35" spans="1:7" x14ac:dyDescent="0.2">
      <c r="D35" s="8"/>
    </row>
    <row r="36" spans="1:7" x14ac:dyDescent="0.2">
      <c r="A36" s="39" t="s">
        <v>161</v>
      </c>
    </row>
    <row r="37" spans="1:7" x14ac:dyDescent="0.2">
      <c r="A37" s="39" t="s">
        <v>39</v>
      </c>
      <c r="B37" s="39" t="s">
        <v>40</v>
      </c>
      <c r="C37" s="39" t="s">
        <v>41</v>
      </c>
      <c r="D37" s="39" t="s">
        <v>249</v>
      </c>
      <c r="E37" s="39" t="s">
        <v>42</v>
      </c>
    </row>
    <row r="38" spans="1:7" x14ac:dyDescent="0.2">
      <c r="A38">
        <v>2025</v>
      </c>
      <c r="B38">
        <v>902100</v>
      </c>
      <c r="C38" s="3">
        <v>3465800</v>
      </c>
      <c r="D38">
        <v>1</v>
      </c>
      <c r="E38">
        <v>1</v>
      </c>
    </row>
    <row r="39" spans="1:7" x14ac:dyDescent="0.2">
      <c r="A39">
        <v>2026</v>
      </c>
      <c r="B39" s="3">
        <v>932200</v>
      </c>
      <c r="C39" s="3">
        <v>3493500</v>
      </c>
      <c r="D39">
        <f>B39/B38</f>
        <v>1.0333665890699479</v>
      </c>
      <c r="E39">
        <f>C39/$C$38</f>
        <v>1.0079923827110624</v>
      </c>
    </row>
    <row r="40" spans="1:7" x14ac:dyDescent="0.2">
      <c r="A40">
        <v>2040</v>
      </c>
      <c r="B40" s="3">
        <v>1287900</v>
      </c>
      <c r="C40" s="3">
        <v>3911000</v>
      </c>
      <c r="D40">
        <f>B40/B38</f>
        <v>1.4276687728633188</v>
      </c>
      <c r="E40">
        <f>C40/$C$38</f>
        <v>1.1284551907207572</v>
      </c>
    </row>
    <row r="41" spans="1:7" x14ac:dyDescent="0.2">
      <c r="A41">
        <v>2060</v>
      </c>
      <c r="B41" s="3">
        <v>1776600</v>
      </c>
      <c r="C41" s="3">
        <v>4303300</v>
      </c>
      <c r="D41">
        <f>B41/B38</f>
        <v>1.9694047223145992</v>
      </c>
      <c r="E41">
        <f>C41/$C$38</f>
        <v>1.2416469501990883</v>
      </c>
    </row>
    <row r="42" spans="1:7" x14ac:dyDescent="0.2">
      <c r="A42">
        <v>2078</v>
      </c>
      <c r="B42" s="3">
        <v>2239600</v>
      </c>
      <c r="C42" s="3">
        <v>4564400</v>
      </c>
      <c r="D42">
        <f>B42/B38</f>
        <v>2.4826515907327349</v>
      </c>
      <c r="E42">
        <f>C42/C38</f>
        <v>1.3169830919268279</v>
      </c>
    </row>
    <row r="43" spans="1:7" x14ac:dyDescent="0.2">
      <c r="A43" s="1" t="s">
        <v>43</v>
      </c>
      <c r="B43" s="1"/>
      <c r="C43" s="1"/>
      <c r="D43" s="1"/>
      <c r="E43" s="1"/>
    </row>
    <row r="44" spans="1:7" x14ac:dyDescent="0.2">
      <c r="A44" t="s">
        <v>44</v>
      </c>
    </row>
    <row r="46" spans="1:7" x14ac:dyDescent="0.2">
      <c r="A46" s="39" t="s">
        <v>45</v>
      </c>
    </row>
    <row r="47" spans="1:7" x14ac:dyDescent="0.2">
      <c r="A47">
        <v>2026</v>
      </c>
      <c r="B47">
        <f>C39/B39</f>
        <v>3.7475863548594721</v>
      </c>
    </row>
    <row r="48" spans="1:7" x14ac:dyDescent="0.2">
      <c r="A48">
        <v>2040</v>
      </c>
      <c r="B48">
        <f>C40/B40</f>
        <v>3.0367264539172294</v>
      </c>
    </row>
    <row r="49" spans="1:2" x14ac:dyDescent="0.2">
      <c r="A49">
        <v>2078</v>
      </c>
      <c r="B49">
        <f>C42/B42</f>
        <v>2.038042507590641</v>
      </c>
    </row>
  </sheetData>
  <hyperlinks>
    <hyperlink ref="D6" r:id="rId1" xr:uid="{B50A4D24-A67E-4E8A-B596-382D70B5FFC5}"/>
    <hyperlink ref="D7" r:id="rId2" xr:uid="{5902C25D-929E-4680-B8EA-CCC37D3C4FEB}"/>
    <hyperlink ref="D9" r:id="rId3" xr:uid="{974F36F9-78E2-48CC-A386-7A26866E45DA}"/>
    <hyperlink ref="D10" r:id="rId4" xr:uid="{00230932-E527-4AA8-8D63-A238FEFD4DD5}"/>
    <hyperlink ref="D2" r:id="rId5" xr:uid="{4421CFA1-EE25-4D62-9B16-FFD968C00BBA}"/>
    <hyperlink ref="D3" r:id="rId6" xr:uid="{9E499D59-79B2-428C-8D30-C2F7EA369258}"/>
    <hyperlink ref="D4" r:id="rId7" xr:uid="{2D403215-AB24-422F-B073-5201FF09BD7E}"/>
    <hyperlink ref="D5" r:id="rId8" xr:uid="{89F65267-00BA-4FA5-AD99-6C68C6C74F15}"/>
    <hyperlink ref="A43:E43" r:id="rId9" display="https://explore.data.stats.govt.nz/vis?fs[0]=Society%2C1%7CPopulation%20projections%23CAT_POPULATION_PROJECTIONS%23%7CNational%20population%20projections%23CAT_NATIONAL_POPULATION_PROJECTIONS%23&amp;pg=0&amp;fc=Society&amp;bp=true&amp;snb=9&amp;df[ds]=ds-nsiws-disseminate&amp;df[id]=POPPR_NAT_007&amp;df[ag]=STATSNZ&amp;df[vs]=1.0&amp;dq=.2025%2B2040%2B2060%2B2078.SEX3.AGE6500%2BAGE4064%2BAGE1539%2BTOTALALLAGES&amp;ly[rw]=YEAR_POPPR_NAT_007&amp;ly[cl]=SCENARIO_POPPR_NAT_007&amp;to[TIME]=false" xr:uid="{B1118B00-1ED7-CF41-8A82-E33C23A63C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9CA2-7910-4C97-B4CE-6E2785FBDB9D}">
  <dimension ref="A1:AU27"/>
  <sheetViews>
    <sheetView topLeftCell="AK1" zoomScale="110" workbookViewId="0">
      <selection activeCell="AS27" sqref="AS27"/>
    </sheetView>
  </sheetViews>
  <sheetFormatPr baseColWidth="10" defaultColWidth="8.83203125" defaultRowHeight="15" x14ac:dyDescent="0.2"/>
  <cols>
    <col min="3" max="3" width="18.33203125" customWidth="1"/>
    <col min="4" max="4" width="19.6640625" bestFit="1" customWidth="1"/>
    <col min="5" max="5" width="27.5" bestFit="1" customWidth="1"/>
    <col min="6" max="6" width="26.83203125" customWidth="1"/>
    <col min="7" max="9" width="28.5" customWidth="1"/>
    <col min="10" max="14" width="27.83203125" customWidth="1"/>
    <col min="15" max="15" width="35" bestFit="1" customWidth="1"/>
    <col min="16" max="21" width="27.83203125" customWidth="1"/>
    <col min="22" max="27" width="31.83203125" customWidth="1"/>
    <col min="28" max="28" width="38.6640625" bestFit="1" customWidth="1"/>
    <col min="29" max="31" width="38.6640625" customWidth="1"/>
    <col min="32" max="32" width="11.5" customWidth="1"/>
    <col min="33" max="33" width="14.5" bestFit="1" customWidth="1"/>
    <col min="34" max="34" width="11.1640625" customWidth="1"/>
    <col min="35" max="35" width="12" customWidth="1"/>
    <col min="36" max="36" width="16" bestFit="1" customWidth="1"/>
    <col min="37" max="37" width="14.5" bestFit="1" customWidth="1"/>
    <col min="38" max="38" width="11.1640625" bestFit="1" customWidth="1"/>
    <col min="39" max="39" width="14.83203125" bestFit="1" customWidth="1"/>
    <col min="40" max="40" width="10.5" bestFit="1" customWidth="1"/>
    <col min="41" max="41" width="14.33203125" customWidth="1"/>
    <col min="42" max="42" width="10.5" customWidth="1"/>
    <col min="43" max="43" width="9.83203125" customWidth="1"/>
    <col min="44" max="44" width="9.6640625" customWidth="1"/>
    <col min="45" max="45" width="14.5" bestFit="1" customWidth="1"/>
    <col min="46" max="46" width="10.33203125" customWidth="1"/>
    <col min="47" max="47" width="14.83203125" bestFit="1" customWidth="1"/>
  </cols>
  <sheetData>
    <row r="1" spans="1:47" s="2" customFormat="1" x14ac:dyDescent="0.2">
      <c r="A1" s="2" t="s">
        <v>46</v>
      </c>
      <c r="B1" s="51" t="s">
        <v>39</v>
      </c>
      <c r="C1" s="51"/>
      <c r="D1" s="51"/>
      <c r="E1" s="51" t="s">
        <v>47</v>
      </c>
      <c r="F1" s="51"/>
      <c r="G1" s="51"/>
      <c r="H1" s="51"/>
      <c r="I1" s="52"/>
      <c r="J1" s="15"/>
      <c r="K1" s="15"/>
      <c r="L1" s="15"/>
      <c r="M1" s="15"/>
      <c r="N1" s="15"/>
      <c r="O1" s="15"/>
      <c r="P1" s="51" t="s">
        <v>157</v>
      </c>
      <c r="Q1" s="51"/>
      <c r="R1" s="51"/>
      <c r="S1" s="51" t="s">
        <v>159</v>
      </c>
      <c r="T1" s="51"/>
      <c r="U1" s="51"/>
      <c r="V1" s="51" t="s">
        <v>48</v>
      </c>
      <c r="W1" s="51"/>
      <c r="X1" s="51" t="s">
        <v>183</v>
      </c>
      <c r="Y1" s="51"/>
      <c r="Z1" s="51" t="s">
        <v>204</v>
      </c>
      <c r="AA1" s="51"/>
      <c r="AB1" s="51" t="s">
        <v>205</v>
      </c>
      <c r="AC1" s="51"/>
      <c r="AD1" s="51" t="s">
        <v>206</v>
      </c>
      <c r="AE1" s="51"/>
      <c r="AF1" s="51" t="s">
        <v>207</v>
      </c>
      <c r="AG1" s="51"/>
      <c r="AH1" s="51"/>
      <c r="AI1" s="51"/>
      <c r="AJ1" s="51" t="s">
        <v>168</v>
      </c>
      <c r="AK1" s="51"/>
      <c r="AL1" s="51"/>
      <c r="AM1" s="51"/>
      <c r="AN1" s="51" t="s">
        <v>208</v>
      </c>
      <c r="AO1" s="51"/>
      <c r="AP1" s="51"/>
      <c r="AQ1" s="51"/>
      <c r="AR1" s="51" t="s">
        <v>169</v>
      </c>
      <c r="AS1" s="51"/>
      <c r="AT1" s="51"/>
      <c r="AU1" s="51"/>
    </row>
    <row r="2" spans="1:47" s="9" customFormat="1" x14ac:dyDescent="0.2">
      <c r="B2" s="9" t="s">
        <v>39</v>
      </c>
      <c r="C2" s="9" t="s">
        <v>230</v>
      </c>
      <c r="D2" s="9" t="s">
        <v>231</v>
      </c>
      <c r="E2" s="9" t="s">
        <v>53</v>
      </c>
      <c r="F2" s="9" t="s">
        <v>54</v>
      </c>
      <c r="G2" s="9" t="s">
        <v>55</v>
      </c>
      <c r="H2" s="9" t="s">
        <v>56</v>
      </c>
      <c r="I2" s="9" t="s">
        <v>57</v>
      </c>
      <c r="J2" s="9" t="s">
        <v>58</v>
      </c>
      <c r="K2" s="9" t="s">
        <v>59</v>
      </c>
      <c r="L2" s="9" t="s">
        <v>60</v>
      </c>
      <c r="M2" s="9" t="s">
        <v>61</v>
      </c>
      <c r="N2" s="9" t="s">
        <v>62</v>
      </c>
      <c r="O2" s="11" t="s">
        <v>63</v>
      </c>
      <c r="P2" s="9" t="s">
        <v>64</v>
      </c>
      <c r="Q2" s="9" t="s">
        <v>65</v>
      </c>
      <c r="R2" s="9" t="s">
        <v>66</v>
      </c>
      <c r="S2" s="9" t="s">
        <v>64</v>
      </c>
      <c r="T2" s="9" t="s">
        <v>65</v>
      </c>
      <c r="U2" s="9" t="s">
        <v>66</v>
      </c>
      <c r="V2" s="9" t="s">
        <v>67</v>
      </c>
      <c r="W2" s="9" t="s">
        <v>68</v>
      </c>
      <c r="X2" s="9" t="s">
        <v>69</v>
      </c>
      <c r="Y2" s="9" t="s">
        <v>70</v>
      </c>
      <c r="Z2" s="9" t="s">
        <v>71</v>
      </c>
      <c r="AA2" s="9" t="s">
        <v>70</v>
      </c>
      <c r="AB2" s="9" t="s">
        <v>163</v>
      </c>
      <c r="AC2" s="9" t="s">
        <v>250</v>
      </c>
      <c r="AD2" s="9" t="s">
        <v>163</v>
      </c>
      <c r="AE2" s="9" t="s">
        <v>250</v>
      </c>
      <c r="AF2" s="17" t="s">
        <v>49</v>
      </c>
      <c r="AG2" s="9" t="s">
        <v>72</v>
      </c>
      <c r="AH2" s="9" t="s">
        <v>50</v>
      </c>
      <c r="AI2" s="9" t="s">
        <v>51</v>
      </c>
      <c r="AJ2" s="9" t="s">
        <v>49</v>
      </c>
      <c r="AK2" s="9" t="s">
        <v>72</v>
      </c>
      <c r="AL2" s="9" t="s">
        <v>50</v>
      </c>
      <c r="AM2" s="9" t="s">
        <v>51</v>
      </c>
      <c r="AN2" s="17" t="s">
        <v>49</v>
      </c>
      <c r="AO2" s="9" t="s">
        <v>72</v>
      </c>
      <c r="AP2" s="9" t="s">
        <v>50</v>
      </c>
      <c r="AQ2" s="9" t="s">
        <v>51</v>
      </c>
      <c r="AR2" s="9" t="s">
        <v>49</v>
      </c>
      <c r="AS2" s="9" t="s">
        <v>72</v>
      </c>
      <c r="AT2" s="9" t="s">
        <v>50</v>
      </c>
      <c r="AU2" s="9" t="s">
        <v>51</v>
      </c>
    </row>
    <row r="3" spans="1:47" x14ac:dyDescent="0.2">
      <c r="A3" t="s">
        <v>77</v>
      </c>
      <c r="B3">
        <v>2026</v>
      </c>
      <c r="C3">
        <v>2</v>
      </c>
      <c r="D3">
        <v>3</v>
      </c>
      <c r="E3" s="6">
        <f>Parameters!$B$4</f>
        <v>27012.440000000002</v>
      </c>
      <c r="F3">
        <f>Parameters!$B$5</f>
        <v>20778.68</v>
      </c>
      <c r="G3" s="5">
        <f>Parameters!$B$8</f>
        <v>1.01088</v>
      </c>
      <c r="H3" s="6">
        <f>E3*POWER(G3,C3)</f>
        <v>27603.428275777536</v>
      </c>
      <c r="I3" s="6">
        <f>F3*POWER(G3,C3)</f>
        <v>21233.28374057779</v>
      </c>
      <c r="J3" s="8">
        <f>Parameters!B39</f>
        <v>932200</v>
      </c>
      <c r="K3" s="8">
        <f>J3*Parameters!$B$10</f>
        <v>391524</v>
      </c>
      <c r="L3" s="8">
        <f>J3*Parameters!$B$9</f>
        <v>540676</v>
      </c>
      <c r="M3" s="8">
        <f>K3*H3</f>
        <v>10807404652.245523</v>
      </c>
      <c r="N3" s="8">
        <f>L3*I3</f>
        <v>11480326919.720636</v>
      </c>
      <c r="O3" s="14">
        <f>N3+M3</f>
        <v>22287731571.96616</v>
      </c>
      <c r="R3" s="6">
        <f>SUM(R4:R8)</f>
        <v>21575807362.139915</v>
      </c>
      <c r="U3" s="6">
        <f>SUM(U4:U13)</f>
        <v>21575807362.139919</v>
      </c>
      <c r="V3" s="6">
        <f>SUM(V4:V8)</f>
        <v>59724589564.817162</v>
      </c>
      <c r="W3" s="6">
        <f>SUM(W4:W8)</f>
        <v>22287731571.96616</v>
      </c>
      <c r="X3" s="6">
        <f t="shared" ref="X3:X8" si="0">V3+W3-R3</f>
        <v>60436513774.64341</v>
      </c>
      <c r="Y3" s="6">
        <f>V3-R3</f>
        <v>38148782202.677246</v>
      </c>
      <c r="Z3" s="6">
        <f t="shared" ref="Z3:Z8" si="1">V3+W3-U3</f>
        <v>60436513774.643402</v>
      </c>
      <c r="AA3" s="6">
        <f>V3-U3</f>
        <v>38148782202.677246</v>
      </c>
      <c r="AC3" t="s">
        <v>147</v>
      </c>
      <c r="AE3" t="s">
        <v>147</v>
      </c>
      <c r="AF3" s="18">
        <f>SUM(AB4:AB8)</f>
        <v>19.174799719424005</v>
      </c>
      <c r="AH3">
        <f>SUM(AG4:AG8)</f>
        <v>9.791526116260826</v>
      </c>
      <c r="AI3" s="8">
        <f>MIN(AB5:AB8)</f>
        <v>3.8336413313425144</v>
      </c>
      <c r="AJ3" s="23">
        <f>SUM(AD4:AD8)</f>
        <v>19.175203158775442</v>
      </c>
      <c r="AL3">
        <f>SUM(AK4:AK8)</f>
        <v>9.7916291292758721</v>
      </c>
      <c r="AM3" s="23">
        <f>MIN(AD5:AD8)</f>
        <v>3.8338068693509642</v>
      </c>
      <c r="AN3" s="18">
        <f>SUM(AC4:AC8)</f>
        <v>49.094741788883468</v>
      </c>
      <c r="AP3">
        <f>SUM(AO4:AO8)</f>
        <v>15.6630512728496</v>
      </c>
      <c r="AQ3" s="8">
        <f>MIN(AC5:AC8)</f>
        <v>9.5680078748377824</v>
      </c>
      <c r="AR3" s="8">
        <f>SUM(AE4:AE8)</f>
        <v>49.15158707803829</v>
      </c>
      <c r="AT3">
        <f>SUM(AS4:AS8)</f>
        <v>15.672206311401146</v>
      </c>
      <c r="AU3" s="23">
        <f>MIN(AE5:AE8)</f>
        <v>9.5902539223941652</v>
      </c>
    </row>
    <row r="4" spans="1:47" x14ac:dyDescent="0.2">
      <c r="A4">
        <v>1</v>
      </c>
      <c r="E4" s="6"/>
      <c r="G4" s="5"/>
      <c r="H4" s="6"/>
      <c r="I4" s="6"/>
      <c r="J4" s="8"/>
      <c r="K4" s="8"/>
      <c r="L4" s="8"/>
      <c r="M4" s="8"/>
      <c r="N4" s="8"/>
      <c r="O4" s="8"/>
      <c r="P4" s="16">
        <f>'Revenue share calc'!E18</f>
        <v>0</v>
      </c>
      <c r="Q4" s="16">
        <v>0</v>
      </c>
      <c r="R4" s="6">
        <f>$O$3*P4</f>
        <v>0</v>
      </c>
      <c r="S4" s="8">
        <f>'Revenue share calc'!H18</f>
        <v>0</v>
      </c>
      <c r="T4" s="8">
        <v>0</v>
      </c>
      <c r="U4" s="6">
        <f>$O$3*S4</f>
        <v>0</v>
      </c>
      <c r="V4" s="6">
        <f>Parameters!E30*POWER(Parameters!$B$8, $D$3)</f>
        <v>0</v>
      </c>
      <c r="W4" s="6">
        <f>$O$3*Parameters!G30</f>
        <v>1485848771.4644105</v>
      </c>
      <c r="X4" s="6">
        <f t="shared" si="0"/>
        <v>1485848771.4644105</v>
      </c>
      <c r="Y4" s="6">
        <f t="shared" ref="Y4:Y7" si="2">V4-R4</f>
        <v>0</v>
      </c>
      <c r="Z4" s="28">
        <f t="shared" si="1"/>
        <v>1485848771.4644105</v>
      </c>
      <c r="AA4" s="6">
        <f t="shared" ref="AA4:AA8" si="3">V4-U4</f>
        <v>0</v>
      </c>
      <c r="AB4" s="19">
        <f>(POWER(X4, -0.26) - 1)/-0.26</f>
        <v>3.8302934783823366</v>
      </c>
      <c r="AC4" s="19">
        <f>LOG(X4)</f>
        <v>9.1719746095182888</v>
      </c>
      <c r="AD4" s="23">
        <f>(POWER(Z4, -0.26) - 1)/-0.26</f>
        <v>3.8302934783823366</v>
      </c>
      <c r="AE4" s="23">
        <f>LOG(Z4)</f>
        <v>9.1719746095182888</v>
      </c>
      <c r="AG4" cm="1">
        <f t="array" ref="AG4:AG8">SQRT(AB4:AB8)</f>
        <v>1.9571135578658527</v>
      </c>
      <c r="AK4" cm="1">
        <f t="array" ref="AK4:AK8">SQRT(AD4:AD8)</f>
        <v>1.9571135578658527</v>
      </c>
      <c r="AO4">
        <f>SQRT(AC4)</f>
        <v>3.0285268051510275</v>
      </c>
      <c r="AS4">
        <f>SQRT(AE4)</f>
        <v>3.0285268051510275</v>
      </c>
    </row>
    <row r="5" spans="1:47" x14ac:dyDescent="0.2">
      <c r="A5">
        <v>2</v>
      </c>
      <c r="E5" s="6"/>
      <c r="G5" s="5"/>
      <c r="H5" s="6"/>
      <c r="I5" s="6"/>
      <c r="J5" s="8"/>
      <c r="K5" s="8"/>
      <c r="L5" s="8"/>
      <c r="M5" s="8"/>
      <c r="N5" s="8"/>
      <c r="O5" s="8"/>
      <c r="P5" s="16">
        <f>'Revenue share calc'!E19</f>
        <v>1.3269738784901168E-2</v>
      </c>
      <c r="Q5" s="16">
        <f>(P5*$O$3)/(Parameters!E31*POWER(Parameters!$B$8, $D$3))</f>
        <v>0.29196943257153052</v>
      </c>
      <c r="R5" s="6">
        <f>Q5*Parameters!E31</f>
        <v>286305327.7689442</v>
      </c>
      <c r="S5" s="8">
        <f>'Revenue share calc'!H19</f>
        <v>4.2606706468970683E-3</v>
      </c>
      <c r="T5" s="8">
        <f>(S5*$O$3)/(Parameters!E31*POWER(Parameters!$B$8,$D$3))</f>
        <v>9.374604966332635E-2</v>
      </c>
      <c r="U5" s="6">
        <f>T5*Parameters!E31</f>
        <v>91927409.110975206</v>
      </c>
      <c r="V5" s="6">
        <f>Parameters!E31*POWER(Parameters!$B$8, $D$3)</f>
        <v>1012956642.2866145</v>
      </c>
      <c r="W5" s="6">
        <f>$O$3*Parameters!G31</f>
        <v>2971697542.9288211</v>
      </c>
      <c r="X5" s="6">
        <f t="shared" si="0"/>
        <v>3698348857.4464912</v>
      </c>
      <c r="Y5" s="6">
        <f t="shared" si="2"/>
        <v>726651314.51767039</v>
      </c>
      <c r="Z5" s="6">
        <f t="shared" si="1"/>
        <v>3892726776.1044602</v>
      </c>
      <c r="AA5" s="6">
        <f t="shared" si="3"/>
        <v>921029233.17563939</v>
      </c>
      <c r="AB5" s="19">
        <f>(POWER(X5, -0.26) - 1)/-0.26</f>
        <v>3.8336413313425144</v>
      </c>
      <c r="AC5" s="19">
        <f t="shared" ref="AC5:AC8" si="4">LOG(X5)</f>
        <v>9.5680078748377824</v>
      </c>
      <c r="AD5" s="20">
        <f t="shared" ref="AD5:AD8" si="5">(POWER(Z5, -0.26) - 1)/-0.26</f>
        <v>3.8338068693509642</v>
      </c>
      <c r="AE5" s="23">
        <f t="shared" ref="AE5:AE8" si="6">LOG(Z5)</f>
        <v>9.5902539223941652</v>
      </c>
      <c r="AG5">
        <v>1.9579686747602767</v>
      </c>
      <c r="AK5">
        <v>1.9580109471989589</v>
      </c>
      <c r="AO5">
        <f t="shared" ref="AO5:AO8" si="7">SQRT(AC5)</f>
        <v>3.0932196615885172</v>
      </c>
      <c r="AS5">
        <f t="shared" ref="AS5:AS8" si="8">SQRT(AE5)</f>
        <v>3.096813511077825</v>
      </c>
    </row>
    <row r="6" spans="1:47" x14ac:dyDescent="0.2">
      <c r="A6">
        <v>3</v>
      </c>
      <c r="E6" s="6"/>
      <c r="G6" s="5"/>
      <c r="H6" s="6"/>
      <c r="I6" s="6"/>
      <c r="J6" s="8"/>
      <c r="K6" s="8"/>
      <c r="L6" s="8"/>
      <c r="M6" s="8"/>
      <c r="N6" s="8"/>
      <c r="O6" s="8"/>
      <c r="P6" s="16">
        <f>'Revenue share calc'!E20</f>
        <v>2.312666843081326E-2</v>
      </c>
      <c r="Q6" s="16">
        <f>(P6*$O$3)/(Parameters!E32*POWER(Parameters!$B$8, $D$3))</f>
        <v>0.323030010504672</v>
      </c>
      <c r="R6" s="6">
        <f>Q6*Parameters!E32</f>
        <v>498976542.99130946</v>
      </c>
      <c r="S6" s="8">
        <f>'Revenue share calc'!H20</f>
        <v>1.0546729894329032E-2</v>
      </c>
      <c r="T6" s="8">
        <f>(S6*$O$3)/(Parameters!E32*POWER(Parameters!$B$8,$D$3))</f>
        <v>0.14731522089951285</v>
      </c>
      <c r="U6" s="6">
        <f>T6*Parameters!E32</f>
        <v>227554212.50056547</v>
      </c>
      <c r="V6" s="6">
        <f>Parameters!E32*POWER(Parameters!$B$8, $D$3)</f>
        <v>1595644247.8349078</v>
      </c>
      <c r="W6" s="6">
        <f>$O$3*Parameters!G32</f>
        <v>4457546314.3932323</v>
      </c>
      <c r="X6" s="6">
        <f t="shared" si="0"/>
        <v>5554214019.2368307</v>
      </c>
      <c r="Y6" s="6">
        <f t="shared" si="2"/>
        <v>1096667704.8435984</v>
      </c>
      <c r="Z6" s="6">
        <f t="shared" si="1"/>
        <v>5825636349.7275743</v>
      </c>
      <c r="AA6" s="6">
        <f t="shared" si="3"/>
        <v>1368090035.3343422</v>
      </c>
      <c r="AB6" s="21">
        <f>(POWER(X6, -0.26) - 1)/-0.26</f>
        <v>3.8348967915330894</v>
      </c>
      <c r="AC6" s="19">
        <f t="shared" si="4"/>
        <v>9.7446226103049103</v>
      </c>
      <c r="AD6" s="22">
        <f t="shared" si="5"/>
        <v>3.8350355720816252</v>
      </c>
      <c r="AE6" s="23">
        <f t="shared" si="6"/>
        <v>9.7653433714286582</v>
      </c>
      <c r="AG6">
        <v>1.9582892512428007</v>
      </c>
      <c r="AK6">
        <v>1.9583246850513898</v>
      </c>
      <c r="AO6">
        <f t="shared" si="7"/>
        <v>3.1216378089562071</v>
      </c>
      <c r="AS6">
        <f t="shared" si="8"/>
        <v>3.1249549391037079</v>
      </c>
    </row>
    <row r="7" spans="1:47" x14ac:dyDescent="0.2">
      <c r="A7">
        <v>4</v>
      </c>
      <c r="E7" s="6"/>
      <c r="G7" s="5"/>
      <c r="H7" s="6"/>
      <c r="I7" s="6"/>
      <c r="J7" s="8"/>
      <c r="K7" s="8"/>
      <c r="L7" s="8"/>
      <c r="M7" s="8"/>
      <c r="N7" s="8"/>
      <c r="O7" s="8"/>
      <c r="P7" s="16">
        <f>'Revenue share calc'!E21</f>
        <v>0.10673582838509027</v>
      </c>
      <c r="Q7" s="16">
        <f>(P7*$O$3)/(Parameters!E33*POWER(Parameters!$B$8, $D$3))</f>
        <v>0.3540905884378136</v>
      </c>
      <c r="R7" s="6">
        <f>Q7*Parameters!E33</f>
        <v>2302911671.875133</v>
      </c>
      <c r="S7" s="8">
        <f>'Revenue share calc'!H21</f>
        <v>7.6701592075232722E-2</v>
      </c>
      <c r="T7" s="8">
        <f>(S7*$O$3)/(Parameters!E33*POWER(Parameters!$B$8,$D$3))</f>
        <v>0.25445356337188585</v>
      </c>
      <c r="U7" s="6">
        <f>T7*Parameters!E33</f>
        <v>1654898774.984659</v>
      </c>
      <c r="V7" s="6">
        <f>Parameters!E33*POWER(Parameters!$B$8, $D$3)</f>
        <v>6718335843.5298462</v>
      </c>
      <c r="W7" s="6">
        <f>$O$3*Parameters!G33</f>
        <v>5943395085.8576422</v>
      </c>
      <c r="X7" s="6">
        <f t="shared" si="0"/>
        <v>10358819257.512356</v>
      </c>
      <c r="Y7" s="6">
        <f t="shared" si="2"/>
        <v>4415424171.6547127</v>
      </c>
      <c r="Z7" s="6">
        <f t="shared" si="1"/>
        <v>11006832154.40283</v>
      </c>
      <c r="AA7" s="6">
        <f t="shared" si="3"/>
        <v>5063437068.545187</v>
      </c>
      <c r="AB7" s="22">
        <f>(POWER(X7, -0.26) - 1)/-0.26</f>
        <v>3.8365808918550037</v>
      </c>
      <c r="AC7" s="19">
        <f t="shared" si="4"/>
        <v>10.015310255489251</v>
      </c>
      <c r="AD7" s="10">
        <f t="shared" si="5"/>
        <v>3.8367307322099196</v>
      </c>
      <c r="AE7" s="23">
        <f t="shared" si="6"/>
        <v>10.041662343874316</v>
      </c>
      <c r="AG7">
        <v>1.9587191967852369</v>
      </c>
      <c r="AK7">
        <v>1.9587574459871031</v>
      </c>
      <c r="AO7">
        <f t="shared" si="7"/>
        <v>3.1646974982593914</v>
      </c>
      <c r="AS7">
        <f t="shared" si="8"/>
        <v>3.1688582082312102</v>
      </c>
    </row>
    <row r="8" spans="1:47" x14ac:dyDescent="0.2">
      <c r="A8">
        <v>5</v>
      </c>
      <c r="E8" s="6"/>
      <c r="F8" s="5"/>
      <c r="G8" s="6"/>
      <c r="H8" s="6"/>
      <c r="I8" s="6"/>
      <c r="J8" s="6"/>
      <c r="K8" s="6"/>
      <c r="L8" s="6"/>
      <c r="M8" s="6"/>
      <c r="N8" s="6"/>
      <c r="O8" s="6"/>
      <c r="P8" s="16">
        <f>'Revenue share calc'!E22</f>
        <v>0.85686776439919532</v>
      </c>
      <c r="Q8" s="16">
        <f>(P8*$O$3)/(Parameters!E34*POWER(Parameters!$B$8, $D$3))</f>
        <v>0.37893905078432677</v>
      </c>
      <c r="R8" s="6">
        <f>Q8*Parameters!E34</f>
        <v>18487613819.504528</v>
      </c>
      <c r="S8" s="8">
        <f>'Revenue share calc'!H22</f>
        <v>0.90849100738354127</v>
      </c>
      <c r="T8" s="8">
        <f>(S8*$O$3)/(Parameters!E34*POWER(Parameters!$B$8,$D$3))</f>
        <v>0.40176878427139867</v>
      </c>
      <c r="U8" s="6">
        <f>T8*Parameters!E34</f>
        <v>19601426965.54372</v>
      </c>
      <c r="V8" s="6">
        <f>Parameters!E34*POWER(Parameters!$B$8, $D$3)</f>
        <v>50397652831.165794</v>
      </c>
      <c r="W8" s="6">
        <f>$O$3*Parameters!G34</f>
        <v>7429243857.322053</v>
      </c>
      <c r="X8" s="6">
        <f t="shared" si="0"/>
        <v>39339282868.983322</v>
      </c>
      <c r="Y8" s="6">
        <f>V8-R8</f>
        <v>31910039011.661266</v>
      </c>
      <c r="Z8" s="6">
        <f t="shared" si="1"/>
        <v>38225469722.944122</v>
      </c>
      <c r="AA8" s="6">
        <f t="shared" si="3"/>
        <v>30796225865.622074</v>
      </c>
      <c r="AB8" s="22">
        <f>(POWER(X8, -0.26) - 1)/-0.26</f>
        <v>3.8393872263110604</v>
      </c>
      <c r="AC8" s="19">
        <f t="shared" si="4"/>
        <v>10.594826438733239</v>
      </c>
      <c r="AD8" s="10">
        <f t="shared" si="5"/>
        <v>3.8393365067505982</v>
      </c>
      <c r="AE8" s="23">
        <f t="shared" si="6"/>
        <v>10.58235283082286</v>
      </c>
      <c r="AG8">
        <v>1.9594354356066597</v>
      </c>
      <c r="AK8">
        <v>1.959422493172567</v>
      </c>
      <c r="AO8">
        <f t="shared" si="7"/>
        <v>3.2549694988944582</v>
      </c>
      <c r="AS8">
        <f t="shared" si="8"/>
        <v>3.2530528478373757</v>
      </c>
    </row>
    <row r="9" spans="1:47" x14ac:dyDescent="0.2">
      <c r="J9" s="8"/>
      <c r="K9" s="8"/>
      <c r="L9" s="8"/>
      <c r="M9" s="8"/>
      <c r="N9" s="8"/>
      <c r="O9" s="8"/>
      <c r="P9" s="8"/>
      <c r="Q9" s="8"/>
      <c r="R9" s="6"/>
      <c r="S9" s="8"/>
      <c r="T9" s="8"/>
      <c r="U9" s="6"/>
      <c r="V9" s="6"/>
      <c r="W9" s="6"/>
      <c r="X9" s="6"/>
      <c r="Y9" s="6"/>
      <c r="Z9" s="6"/>
      <c r="AA9" s="6"/>
      <c r="AB9" s="8"/>
      <c r="AC9" s="8"/>
    </row>
    <row r="10" spans="1:47" x14ac:dyDescent="0.2">
      <c r="P10" s="8"/>
      <c r="Q10" s="8"/>
      <c r="R10" s="6"/>
      <c r="S10" s="8"/>
      <c r="T10" s="8"/>
      <c r="U10" s="6"/>
      <c r="V10" s="26"/>
      <c r="W10" s="27"/>
      <c r="X10" s="6"/>
      <c r="Y10" s="6"/>
      <c r="Z10" s="6"/>
      <c r="AA10" s="6"/>
      <c r="AB10" s="8"/>
      <c r="AC10" s="8"/>
      <c r="AD10" s="8"/>
      <c r="AE10" s="8"/>
    </row>
    <row r="11" spans="1:47" x14ac:dyDescent="0.2">
      <c r="P11" s="8"/>
      <c r="Q11" s="8"/>
      <c r="R11" s="6"/>
      <c r="S11" s="8"/>
      <c r="T11" s="8"/>
      <c r="U11" s="6"/>
      <c r="V11" s="6"/>
      <c r="W11" s="6"/>
      <c r="X11" s="6"/>
      <c r="Y11" s="6"/>
      <c r="Z11" s="6"/>
      <c r="AA11" s="6"/>
      <c r="AB11" s="8"/>
      <c r="AC11" s="8"/>
      <c r="AD11" s="8"/>
      <c r="AE11" s="8"/>
    </row>
    <row r="12" spans="1:47" x14ac:dyDescent="0.2">
      <c r="A12" s="38" t="s">
        <v>85</v>
      </c>
      <c r="P12" s="8"/>
      <c r="Q12" s="8"/>
      <c r="R12" s="6"/>
      <c r="S12" s="8"/>
      <c r="T12" s="8"/>
      <c r="U12" s="6"/>
      <c r="V12" s="6"/>
      <c r="W12" s="6"/>
      <c r="X12" s="6"/>
      <c r="Y12" s="6"/>
      <c r="Z12" s="6"/>
      <c r="AA12" s="6"/>
      <c r="AB12" s="8"/>
      <c r="AC12" s="8"/>
      <c r="AD12" s="8"/>
      <c r="AE12" s="8"/>
    </row>
    <row r="13" spans="1:47" x14ac:dyDescent="0.2">
      <c r="A13" s="2" t="s">
        <v>46</v>
      </c>
      <c r="B13" s="51" t="s">
        <v>39</v>
      </c>
      <c r="C13" s="51"/>
      <c r="D13" s="51"/>
      <c r="E13" s="51" t="s">
        <v>47</v>
      </c>
      <c r="F13" s="51"/>
      <c r="G13" s="51"/>
      <c r="H13" s="51"/>
      <c r="I13" s="52"/>
      <c r="J13" s="15"/>
      <c r="K13" s="15"/>
      <c r="L13" s="15"/>
      <c r="M13" s="15"/>
      <c r="N13" s="15"/>
      <c r="O13" s="15"/>
      <c r="P13" s="51" t="s">
        <v>157</v>
      </c>
      <c r="Q13" s="51"/>
      <c r="R13" s="51"/>
      <c r="S13" s="51" t="s">
        <v>159</v>
      </c>
      <c r="T13" s="51"/>
      <c r="U13" s="51"/>
      <c r="V13" s="51" t="s">
        <v>48</v>
      </c>
      <c r="W13" s="51"/>
      <c r="X13" s="51" t="s">
        <v>183</v>
      </c>
      <c r="Y13" s="51"/>
      <c r="Z13" s="51" t="s">
        <v>204</v>
      </c>
      <c r="AA13" s="51"/>
      <c r="AB13" s="51" t="s">
        <v>205</v>
      </c>
      <c r="AC13" s="51"/>
      <c r="AD13" s="51" t="s">
        <v>206</v>
      </c>
      <c r="AE13" s="51"/>
      <c r="AF13" s="51" t="s">
        <v>207</v>
      </c>
      <c r="AG13" s="51"/>
      <c r="AH13" s="51"/>
      <c r="AI13" s="51"/>
      <c r="AJ13" s="51" t="s">
        <v>168</v>
      </c>
      <c r="AK13" s="51"/>
      <c r="AL13" s="51"/>
      <c r="AM13" s="51"/>
      <c r="AN13" s="51" t="s">
        <v>208</v>
      </c>
      <c r="AO13" s="51"/>
      <c r="AP13" s="51"/>
      <c r="AQ13" s="51"/>
      <c r="AR13" s="51" t="s">
        <v>169</v>
      </c>
      <c r="AS13" s="51"/>
      <c r="AT13" s="51"/>
      <c r="AU13" s="51"/>
    </row>
    <row r="14" spans="1:47" x14ac:dyDescent="0.2">
      <c r="A14" s="9"/>
      <c r="B14" s="9" t="s">
        <v>39</v>
      </c>
      <c r="C14" s="9" t="s">
        <v>230</v>
      </c>
      <c r="D14" s="9" t="s">
        <v>231</v>
      </c>
      <c r="E14" s="9" t="s">
        <v>53</v>
      </c>
      <c r="F14" s="9" t="s">
        <v>54</v>
      </c>
      <c r="G14" s="9" t="s">
        <v>55</v>
      </c>
      <c r="H14" s="9" t="s">
        <v>56</v>
      </c>
      <c r="I14" s="9" t="s">
        <v>57</v>
      </c>
      <c r="J14" s="9" t="s">
        <v>58</v>
      </c>
      <c r="K14" s="9" t="s">
        <v>59</v>
      </c>
      <c r="L14" s="9" t="s">
        <v>60</v>
      </c>
      <c r="M14" s="9" t="s">
        <v>61</v>
      </c>
      <c r="N14" s="9" t="s">
        <v>62</v>
      </c>
      <c r="O14" s="11" t="s">
        <v>63</v>
      </c>
      <c r="P14" s="9" t="s">
        <v>64</v>
      </c>
      <c r="Q14" s="9" t="s">
        <v>65</v>
      </c>
      <c r="R14" s="9" t="s">
        <v>66</v>
      </c>
      <c r="S14" s="9" t="s">
        <v>64</v>
      </c>
      <c r="T14" s="9" t="s">
        <v>65</v>
      </c>
      <c r="U14" s="9" t="s">
        <v>66</v>
      </c>
      <c r="V14" s="9" t="s">
        <v>67</v>
      </c>
      <c r="W14" s="9" t="s">
        <v>88</v>
      </c>
      <c r="X14" s="9" t="s">
        <v>71</v>
      </c>
      <c r="Y14" s="9" t="s">
        <v>70</v>
      </c>
      <c r="Z14" s="9" t="s">
        <v>89</v>
      </c>
      <c r="AA14" s="9" t="s">
        <v>70</v>
      </c>
      <c r="AB14" s="9" t="s">
        <v>163</v>
      </c>
      <c r="AC14" s="9" t="s">
        <v>250</v>
      </c>
      <c r="AD14" s="9" t="s">
        <v>163</v>
      </c>
      <c r="AE14" s="9" t="s">
        <v>250</v>
      </c>
      <c r="AF14" s="17" t="s">
        <v>49</v>
      </c>
      <c r="AG14" s="9" t="s">
        <v>72</v>
      </c>
      <c r="AH14" s="9" t="s">
        <v>50</v>
      </c>
      <c r="AI14" s="9" t="s">
        <v>51</v>
      </c>
      <c r="AJ14" s="9" t="s">
        <v>49</v>
      </c>
      <c r="AK14" s="9" t="s">
        <v>72</v>
      </c>
      <c r="AL14" s="9" t="s">
        <v>50</v>
      </c>
      <c r="AM14" s="9" t="s">
        <v>51</v>
      </c>
      <c r="AN14" s="17" t="s">
        <v>49</v>
      </c>
      <c r="AO14" s="9" t="s">
        <v>72</v>
      </c>
      <c r="AP14" s="9" t="s">
        <v>50</v>
      </c>
      <c r="AQ14" s="9" t="s">
        <v>51</v>
      </c>
      <c r="AR14" s="9" t="s">
        <v>49</v>
      </c>
      <c r="AS14" s="9" t="s">
        <v>72</v>
      </c>
      <c r="AT14" s="9" t="s">
        <v>50</v>
      </c>
      <c r="AU14" s="9" t="s">
        <v>51</v>
      </c>
    </row>
    <row r="15" spans="1:47" x14ac:dyDescent="0.2">
      <c r="A15" t="s">
        <v>77</v>
      </c>
      <c r="B15">
        <v>2026</v>
      </c>
      <c r="C15">
        <v>2</v>
      </c>
      <c r="D15">
        <v>3</v>
      </c>
      <c r="E15" s="6">
        <f>Parameters!$B$4</f>
        <v>27012.440000000002</v>
      </c>
      <c r="F15">
        <f>Parameters!$B$5</f>
        <v>20778.68</v>
      </c>
      <c r="G15" s="5">
        <f>Parameters!$B$8</f>
        <v>1.01088</v>
      </c>
      <c r="H15" s="6">
        <f>E15*POWER(G15,C15)</f>
        <v>27603.428275777536</v>
      </c>
      <c r="I15" s="6">
        <f>F15*POWER(G15,C15)</f>
        <v>21233.28374057779</v>
      </c>
      <c r="J15" s="8">
        <f>Parameters!B39</f>
        <v>932200</v>
      </c>
      <c r="K15" s="8">
        <f>J15*Parameters!$B$10</f>
        <v>391524</v>
      </c>
      <c r="L15" s="8">
        <f>J15*Parameters!$B$9</f>
        <v>540676</v>
      </c>
      <c r="M15" s="8">
        <f>K15*H15</f>
        <v>10807404652.245523</v>
      </c>
      <c r="N15" s="8">
        <f>L15*I15</f>
        <v>11480326919.720636</v>
      </c>
      <c r="O15" s="14">
        <f>N15+M15</f>
        <v>22287731571.96616</v>
      </c>
      <c r="R15" s="6">
        <f>SUM(R16:R20)</f>
        <v>8915092628.7864647</v>
      </c>
      <c r="U15" s="6">
        <f>SUM(U16:U25)</f>
        <v>8915092628.7864647</v>
      </c>
      <c r="V15" s="6">
        <f>SUM(V16:V20)</f>
        <v>59724589564.817162</v>
      </c>
      <c r="W15" s="6">
        <f>SUM(W16:W18)</f>
        <v>8915092628.7864647</v>
      </c>
      <c r="X15" s="6">
        <f t="shared" ref="X15:X20" si="9">V15+W15-R15</f>
        <v>59724589564.817154</v>
      </c>
      <c r="Y15" s="6">
        <f>V15-R15</f>
        <v>50809496936.030701</v>
      </c>
      <c r="Z15" s="6">
        <f t="shared" ref="Z15:Z20" si="10">V15+W15-U15</f>
        <v>59724589564.817154</v>
      </c>
      <c r="AA15" s="6">
        <f>V15-U15</f>
        <v>50809496936.030701</v>
      </c>
      <c r="AC15" t="s">
        <v>147</v>
      </c>
      <c r="AE15" t="s">
        <v>147</v>
      </c>
      <c r="AF15" s="18">
        <f>SUM(AB16:AB25)</f>
        <v>19.173663120619</v>
      </c>
      <c r="AH15">
        <f>SUM(AG16:AG20)</f>
        <v>9.7912359445648036</v>
      </c>
      <c r="AI15" s="8">
        <f>MIN(AB17:AB25)</f>
        <v>3.8337850265798705</v>
      </c>
      <c r="AJ15" s="23">
        <f>SUM(AD16:AD20)</f>
        <v>19.173895913947792</v>
      </c>
      <c r="AL15">
        <f>SUM(AK16:AK20)</f>
        <v>9.791295386653859</v>
      </c>
      <c r="AM15" s="23">
        <f>MIN(AD17:AD25)</f>
        <v>3.8338509702673615</v>
      </c>
      <c r="AN15" s="18">
        <f>SUM(AC16:AC20)</f>
        <v>48.918166821088192</v>
      </c>
      <c r="AP15">
        <f>SUM(AO16:AO20)</f>
        <v>15.634847283811704</v>
      </c>
      <c r="AQ15" s="8">
        <f>MIN(AC17:AC20)</f>
        <v>9.5873015291833177</v>
      </c>
      <c r="AR15" s="8">
        <f>SUM(AE16:AE20)</f>
        <v>48.9503582478781</v>
      </c>
      <c r="AT15">
        <f>SUM(AS16:AS20)</f>
        <v>15.64004077806489</v>
      </c>
      <c r="AU15" s="23">
        <f>MIN(AE17:AE21)</f>
        <v>9.5962308047573952</v>
      </c>
    </row>
    <row r="16" spans="1:47" x14ac:dyDescent="0.2">
      <c r="A16">
        <v>1</v>
      </c>
      <c r="E16" s="6"/>
      <c r="G16" s="5"/>
      <c r="H16" s="6"/>
      <c r="I16" s="6"/>
      <c r="J16" s="8"/>
      <c r="K16" s="8"/>
      <c r="L16" s="8"/>
      <c r="M16" s="8"/>
      <c r="N16" s="8"/>
      <c r="O16" s="8">
        <f>Parameters!G30*$O$15</f>
        <v>1485848771.4644105</v>
      </c>
      <c r="P16" s="16">
        <f>'Revenue share calc'!E18</f>
        <v>0</v>
      </c>
      <c r="Q16" s="16">
        <v>0</v>
      </c>
      <c r="R16" s="6">
        <f>P16*SUM($O$16:$O$18)</f>
        <v>0</v>
      </c>
      <c r="S16" s="8">
        <f>'Revenue share calc'!H18</f>
        <v>0</v>
      </c>
      <c r="T16" s="8">
        <v>0</v>
      </c>
      <c r="U16" s="6">
        <f>S16*SUM($O$16:$O$18)</f>
        <v>0</v>
      </c>
      <c r="V16" s="6">
        <f>Parameters!E30*POWER(Parameters!$B$8, $D$15)</f>
        <v>0</v>
      </c>
      <c r="W16" s="6">
        <f>O16</f>
        <v>1485848771.4644105</v>
      </c>
      <c r="X16" s="6">
        <f t="shared" si="9"/>
        <v>1485848771.4644105</v>
      </c>
      <c r="Y16" s="6">
        <f t="shared" ref="Y16:Y19" si="11">V16-R16</f>
        <v>0</v>
      </c>
      <c r="Z16" s="28">
        <f t="shared" si="10"/>
        <v>1485848771.4644105</v>
      </c>
      <c r="AA16" s="6">
        <f t="shared" ref="AA16:AA20" si="12">V16-U16</f>
        <v>0</v>
      </c>
      <c r="AB16" s="19">
        <f>(POWER(X16, -0.26) - 1)/-0.26</f>
        <v>3.8302934783823366</v>
      </c>
      <c r="AC16" s="19">
        <f>LOG(X16)</f>
        <v>9.1719746095182888</v>
      </c>
      <c r="AD16" s="23">
        <f>(POWER(Z16, -0.26) - 1)/-0.26</f>
        <v>3.8302934783823366</v>
      </c>
      <c r="AE16" s="23">
        <f>LOG(Z16)</f>
        <v>9.1719746095182888</v>
      </c>
      <c r="AG16">
        <f>SQRT(AB16)</f>
        <v>1.9571135578658527</v>
      </c>
      <c r="AK16">
        <f>SQRT(AD16)</f>
        <v>1.9571135578658527</v>
      </c>
      <c r="AO16">
        <f>SQRT(AC16)</f>
        <v>3.0285268051510275</v>
      </c>
      <c r="AS16">
        <f>SQRT(AE16)</f>
        <v>3.0285268051510275</v>
      </c>
    </row>
    <row r="17" spans="1:45" x14ac:dyDescent="0.2">
      <c r="A17">
        <v>2</v>
      </c>
      <c r="E17" s="6"/>
      <c r="G17" s="5"/>
      <c r="H17" s="6"/>
      <c r="I17" s="6"/>
      <c r="J17" s="8"/>
      <c r="K17" s="8"/>
      <c r="L17" s="8"/>
      <c r="M17" s="8"/>
      <c r="N17" s="8"/>
      <c r="O17" s="8">
        <f>Parameters!G31*$O$15</f>
        <v>2971697542.9288211</v>
      </c>
      <c r="P17" s="16">
        <f>'Revenue share calc'!E19</f>
        <v>1.3269738784901168E-2</v>
      </c>
      <c r="Q17" s="16">
        <f>(P17*$O$22)/(Parameters!E31*POWER(Parameters!$B$8,$D$15))</f>
        <v>0.11678777302861221</v>
      </c>
      <c r="R17" s="6">
        <f t="shared" ref="R17:R20" si="13">P17*SUM($O$16:$O$18)</f>
        <v>118300950.42719427</v>
      </c>
      <c r="S17" s="8">
        <f>'Revenue share calc'!H19</f>
        <v>4.2606706468970683E-3</v>
      </c>
      <c r="T17" s="8">
        <f>(S17*$O$22)/(Parameters!E31*POWER(Parameters!$B$8,$D$15))</f>
        <v>3.7498419865330541E-2</v>
      </c>
      <c r="U17" s="6">
        <f t="shared" ref="U17:U20" si="14">S17*SUM($O$16:$O$18)</f>
        <v>37984273.477838911</v>
      </c>
      <c r="V17" s="6">
        <f>Parameters!E31*POWER(Parameters!$B$8, $D$15)</f>
        <v>1012956642.2866145</v>
      </c>
      <c r="W17" s="6">
        <f>O17</f>
        <v>2971697542.9288211</v>
      </c>
      <c r="X17" s="6">
        <f t="shared" si="9"/>
        <v>3866353234.7882414</v>
      </c>
      <c r="Y17" s="6">
        <f t="shared" si="11"/>
        <v>894655691.8594203</v>
      </c>
      <c r="Z17" s="6">
        <f t="shared" si="10"/>
        <v>3946669911.7375965</v>
      </c>
      <c r="AA17" s="6">
        <f t="shared" si="12"/>
        <v>974972368.80877566</v>
      </c>
      <c r="AB17" s="19">
        <f>(POWER(X17, -0.26) - 1)/-0.26</f>
        <v>3.8337850265798705</v>
      </c>
      <c r="AC17" s="19">
        <f t="shared" ref="AC17:AC20" si="15">LOG(X17)</f>
        <v>9.5873015291833177</v>
      </c>
      <c r="AD17" s="20">
        <f t="shared" ref="AD17:AD20" si="16">(POWER(Z17, -0.26) - 1)/-0.26</f>
        <v>3.8338509702673615</v>
      </c>
      <c r="AE17" s="23">
        <f t="shared" ref="AE17:AE20" si="17">LOG(Z17)</f>
        <v>9.5962308047573952</v>
      </c>
      <c r="AG17">
        <f t="shared" ref="AG17:AG20" si="18">SQRT(AB17)</f>
        <v>1.9580053693950563</v>
      </c>
      <c r="AK17">
        <f t="shared" ref="AK17:AK20" si="19">SQRT(AD17)</f>
        <v>1.9580222088289401</v>
      </c>
      <c r="AO17">
        <f t="shared" ref="AO17:AO20" si="20">SQRT(AC17)</f>
        <v>3.0963367919500162</v>
      </c>
      <c r="AS17">
        <f t="shared" ref="AS17:AS20" si="21">SQRT(AE17)</f>
        <v>3.0977783659838214</v>
      </c>
    </row>
    <row r="18" spans="1:45" x14ac:dyDescent="0.2">
      <c r="A18">
        <v>3</v>
      </c>
      <c r="E18" s="6"/>
      <c r="G18" s="5"/>
      <c r="H18" s="6"/>
      <c r="I18" s="6"/>
      <c r="J18" s="8"/>
      <c r="K18" s="8"/>
      <c r="L18" s="8"/>
      <c r="M18" s="8"/>
      <c r="N18" s="8"/>
      <c r="O18" s="8">
        <f>Parameters!G32*$O$15</f>
        <v>4457546314.3932323</v>
      </c>
      <c r="P18" s="16">
        <f>'Revenue share calc'!E20</f>
        <v>2.312666843081326E-2</v>
      </c>
      <c r="Q18" s="16">
        <f>(P18*$O$22)/(Parameters!E32*POWER(Parameters!$B$8,$D$15))</f>
        <v>0.12921200420186882</v>
      </c>
      <c r="R18" s="6">
        <f t="shared" si="13"/>
        <v>206176391.25593191</v>
      </c>
      <c r="S18" s="8">
        <f>'Revenue share calc'!H20</f>
        <v>1.0546729894329032E-2</v>
      </c>
      <c r="T18" s="8">
        <f>(S18*$O$22)/(Parameters!E32*POWER(Parameters!$B$8,$D$15))</f>
        <v>5.8926088359805152E-2</v>
      </c>
      <c r="U18" s="6">
        <f t="shared" si="14"/>
        <v>94025073.938734606</v>
      </c>
      <c r="V18" s="6">
        <f>Parameters!E32*POWER(Parameters!$B$8, $D$15)</f>
        <v>1595644247.8349078</v>
      </c>
      <c r="W18" s="6">
        <f>O18</f>
        <v>4457546314.3932323</v>
      </c>
      <c r="X18" s="6">
        <f t="shared" si="9"/>
        <v>5847014170.972208</v>
      </c>
      <c r="Y18" s="6">
        <f t="shared" si="11"/>
        <v>1389467856.5789759</v>
      </c>
      <c r="Z18" s="6">
        <f t="shared" si="10"/>
        <v>5959165488.2894049</v>
      </c>
      <c r="AA18" s="6">
        <f t="shared" si="12"/>
        <v>1501619173.8961732</v>
      </c>
      <c r="AB18" s="21">
        <f>(POWER(X18, -0.26) - 1)/-0.26</f>
        <v>3.8350461555588287</v>
      </c>
      <c r="AC18" s="19">
        <f t="shared" si="15"/>
        <v>9.766934146405708</v>
      </c>
      <c r="AD18" s="22">
        <f t="shared" si="16"/>
        <v>3.8351008902844521</v>
      </c>
      <c r="AE18" s="23">
        <f t="shared" si="17"/>
        <v>9.7751854461149961</v>
      </c>
      <c r="AG18">
        <f t="shared" si="18"/>
        <v>1.9583273872258511</v>
      </c>
      <c r="AK18">
        <f t="shared" si="19"/>
        <v>1.9583413620419838</v>
      </c>
      <c r="AO18">
        <f t="shared" si="20"/>
        <v>3.1252094564053956</v>
      </c>
      <c r="AS18">
        <f t="shared" si="21"/>
        <v>3.126529297178422</v>
      </c>
    </row>
    <row r="19" spans="1:45" x14ac:dyDescent="0.2">
      <c r="A19">
        <v>4</v>
      </c>
      <c r="E19" s="6"/>
      <c r="G19" s="5"/>
      <c r="H19" s="6"/>
      <c r="I19" s="6"/>
      <c r="J19" s="8"/>
      <c r="K19" s="8"/>
      <c r="L19" s="8"/>
      <c r="M19" s="8"/>
      <c r="N19" s="8"/>
      <c r="O19" s="8">
        <f>Parameters!G33*$O$15</f>
        <v>5943395085.8576422</v>
      </c>
      <c r="P19" s="16">
        <f>'Revenue share calc'!E21</f>
        <v>0.10673582838509027</v>
      </c>
      <c r="Q19" s="16">
        <f>(P19*$O$22)/(Parameters!E33*POWER(Parameters!$B$8,$D$15))</f>
        <v>0.14163623537512546</v>
      </c>
      <c r="R19" s="6">
        <f t="shared" si="13"/>
        <v>951559796.86333537</v>
      </c>
      <c r="S19" s="8">
        <f>'Revenue share calc'!H21</f>
        <v>7.6701592075232722E-2</v>
      </c>
      <c r="T19" s="8">
        <f>(S19*$O$22)/(Parameters!E33*POWER(Parameters!$B$8,$D$15))</f>
        <v>0.10178142534875433</v>
      </c>
      <c r="U19" s="6">
        <f t="shared" si="14"/>
        <v>683801798.12609351</v>
      </c>
      <c r="V19" s="6">
        <f>Parameters!E33*POWER(Parameters!$B$8, $D$15)</f>
        <v>6718335843.5298462</v>
      </c>
      <c r="W19" s="6">
        <v>0</v>
      </c>
      <c r="X19" s="6">
        <f t="shared" si="9"/>
        <v>5766776046.6665106</v>
      </c>
      <c r="Y19" s="6">
        <f t="shared" si="11"/>
        <v>5766776046.6665106</v>
      </c>
      <c r="Z19" s="6">
        <f t="shared" si="10"/>
        <v>6034534045.4037523</v>
      </c>
      <c r="AA19" s="6">
        <f t="shared" si="12"/>
        <v>6034534045.4037523</v>
      </c>
      <c r="AB19" s="22">
        <f>(POWER(X19, -0.26) - 1)/-0.26</f>
        <v>3.8350061775472031</v>
      </c>
      <c r="AC19" s="19">
        <f t="shared" si="15"/>
        <v>9.7609330858680678</v>
      </c>
      <c r="AD19" s="10">
        <f t="shared" si="16"/>
        <v>3.8351369494064174</v>
      </c>
      <c r="AE19" s="23">
        <f t="shared" si="17"/>
        <v>9.7806437418198797</v>
      </c>
      <c r="AG19">
        <f t="shared" si="18"/>
        <v>1.9583171800163535</v>
      </c>
      <c r="AK19">
        <f t="shared" si="19"/>
        <v>1.9583505685669298</v>
      </c>
      <c r="AO19">
        <f t="shared" si="20"/>
        <v>3.1242492035476408</v>
      </c>
      <c r="AS19">
        <f t="shared" si="21"/>
        <v>3.1274020754965104</v>
      </c>
    </row>
    <row r="20" spans="1:45" x14ac:dyDescent="0.2">
      <c r="A20">
        <v>5</v>
      </c>
      <c r="E20" s="6"/>
      <c r="F20" s="5"/>
      <c r="G20" s="6"/>
      <c r="H20" s="6"/>
      <c r="I20" s="6"/>
      <c r="J20" s="6"/>
      <c r="K20" s="6"/>
      <c r="L20" s="6"/>
      <c r="M20" s="6"/>
      <c r="N20" s="6"/>
      <c r="O20" s="8">
        <f>Parameters!G34*$O$15</f>
        <v>7429243857.322053</v>
      </c>
      <c r="P20" s="16">
        <f>'Revenue share calc'!E22</f>
        <v>0.85686776439919532</v>
      </c>
      <c r="Q20" s="16">
        <f>(P20*$O$22)/(Parameters!E34*POWER(Parameters!$B$8,$D$15))</f>
        <v>0.15157562031373073</v>
      </c>
      <c r="R20" s="6">
        <f t="shared" si="13"/>
        <v>7639055490.2400036</v>
      </c>
      <c r="S20" s="8">
        <f>'Revenue share calc'!H22</f>
        <v>0.90849100738354127</v>
      </c>
      <c r="T20" s="8">
        <f>(S20*$O$22)/(Parameters!E34*POWER(Parameters!$B$8,$D$15))</f>
        <v>0.16070751370855949</v>
      </c>
      <c r="U20" s="6">
        <f t="shared" si="14"/>
        <v>8099281483.2437983</v>
      </c>
      <c r="V20" s="6">
        <f>Parameters!E34*POWER(Parameters!$B$8, $D$15)</f>
        <v>50397652831.165794</v>
      </c>
      <c r="W20" s="6">
        <v>0</v>
      </c>
      <c r="X20" s="6">
        <f t="shared" si="9"/>
        <v>42758597340.925789</v>
      </c>
      <c r="Y20" s="6">
        <f>V20-R20</f>
        <v>42758597340.925789</v>
      </c>
      <c r="Z20" s="6">
        <f t="shared" si="10"/>
        <v>42298371347.921997</v>
      </c>
      <c r="AA20" s="6">
        <f t="shared" si="12"/>
        <v>42298371347.921997</v>
      </c>
      <c r="AB20" s="22">
        <f>(POWER(X20, -0.26) - 1)/-0.26</f>
        <v>3.839532282550763</v>
      </c>
      <c r="AC20" s="19">
        <f t="shared" si="15"/>
        <v>10.631023450112806</v>
      </c>
      <c r="AD20" s="10">
        <f t="shared" si="16"/>
        <v>3.8395136256072253</v>
      </c>
      <c r="AE20" s="23">
        <f t="shared" si="17"/>
        <v>10.626323645667538</v>
      </c>
      <c r="AG20">
        <f t="shared" si="18"/>
        <v>1.9594724500616902</v>
      </c>
      <c r="AK20">
        <f t="shared" si="19"/>
        <v>1.9594676893501524</v>
      </c>
      <c r="AO20">
        <f t="shared" si="20"/>
        <v>3.2605250267576245</v>
      </c>
      <c r="AS20">
        <f t="shared" si="21"/>
        <v>3.259804234255109</v>
      </c>
    </row>
    <row r="21" spans="1:45" x14ac:dyDescent="0.2">
      <c r="E21" s="6"/>
      <c r="G21" s="5"/>
      <c r="H21" s="6"/>
      <c r="I21" s="6"/>
      <c r="J21" s="8"/>
      <c r="K21" s="8"/>
      <c r="L21" s="8"/>
      <c r="M21" s="8"/>
      <c r="N21" s="8"/>
      <c r="O21" s="8"/>
      <c r="P21" s="8"/>
      <c r="Q21" s="8"/>
      <c r="R21" s="6"/>
      <c r="S21" s="8"/>
      <c r="T21" s="8"/>
      <c r="U21" s="6"/>
      <c r="V21" s="6"/>
      <c r="W21" s="6"/>
      <c r="X21" s="6"/>
      <c r="Y21" s="6"/>
      <c r="Z21" s="6"/>
      <c r="AA21" s="6"/>
      <c r="AB21" s="22"/>
      <c r="AC21" s="22"/>
      <c r="AD21" s="10"/>
      <c r="AE21" s="10"/>
    </row>
    <row r="22" spans="1:45" x14ac:dyDescent="0.2">
      <c r="E22" s="6"/>
      <c r="F22" s="5"/>
      <c r="G22" s="6"/>
      <c r="H22" s="6"/>
      <c r="I22" s="6"/>
      <c r="J22" s="6"/>
      <c r="K22" s="6"/>
      <c r="L22" s="6"/>
      <c r="M22" s="6"/>
      <c r="N22" s="6" t="s">
        <v>203</v>
      </c>
      <c r="O22" s="6">
        <f>SUM(O16:O18)</f>
        <v>8915092628.7864647</v>
      </c>
      <c r="P22" s="8"/>
      <c r="Q22" s="8"/>
      <c r="R22" s="6"/>
      <c r="S22" s="8"/>
      <c r="T22" s="8"/>
      <c r="U22" s="6"/>
      <c r="V22" s="6"/>
      <c r="W22" s="6"/>
      <c r="X22" s="6"/>
      <c r="Y22" s="6"/>
      <c r="Z22" s="6"/>
      <c r="AA22" s="6"/>
      <c r="AB22" s="8"/>
      <c r="AC22" s="8"/>
      <c r="AD22" s="8"/>
      <c r="AE22" s="8"/>
    </row>
    <row r="23" spans="1:45" x14ac:dyDescent="0.2">
      <c r="J23" s="8"/>
      <c r="K23" s="8"/>
      <c r="L23" s="8"/>
      <c r="M23" s="8"/>
      <c r="N23" s="8"/>
      <c r="O23" s="8"/>
      <c r="P23" s="8"/>
      <c r="Q23" s="8"/>
      <c r="R23" s="6"/>
      <c r="S23" s="8"/>
      <c r="T23" s="8"/>
      <c r="U23" s="6"/>
      <c r="V23" s="6"/>
      <c r="W23" s="6"/>
      <c r="X23" s="6"/>
      <c r="Y23" s="6"/>
      <c r="Z23" s="6"/>
      <c r="AA23" s="6"/>
      <c r="AB23" s="8"/>
      <c r="AC23" s="8"/>
      <c r="AD23" s="8"/>
      <c r="AE23" s="8"/>
    </row>
    <row r="24" spans="1:45" x14ac:dyDescent="0.2">
      <c r="P24" s="8"/>
      <c r="Q24" s="8"/>
      <c r="R24" s="6"/>
      <c r="S24" s="8"/>
      <c r="T24" s="8"/>
      <c r="U24" s="6"/>
      <c r="V24" s="6"/>
      <c r="W24" s="6"/>
      <c r="X24" s="6"/>
      <c r="Y24" s="6"/>
      <c r="Z24" s="6"/>
      <c r="AA24" s="6"/>
      <c r="AB24" s="8"/>
      <c r="AC24" s="8"/>
      <c r="AD24" s="8"/>
      <c r="AE24" s="8"/>
    </row>
    <row r="25" spans="1:45" x14ac:dyDescent="0.2">
      <c r="O25" s="49"/>
      <c r="P25" s="8"/>
      <c r="Q25" s="8"/>
      <c r="R25" s="6"/>
      <c r="S25" s="8"/>
      <c r="T25" s="8"/>
      <c r="U25" s="6"/>
      <c r="V25" s="6"/>
      <c r="W25" s="6"/>
      <c r="X25" s="6"/>
      <c r="Y25" s="6"/>
      <c r="Z25" s="6"/>
      <c r="AA25" s="6"/>
      <c r="AB25" s="8"/>
      <c r="AC25" s="8"/>
      <c r="AD25" s="8"/>
      <c r="AE25" s="8"/>
    </row>
    <row r="26" spans="1:45" x14ac:dyDescent="0.2">
      <c r="P26" s="8"/>
      <c r="Q26" s="8"/>
      <c r="R26" s="6"/>
      <c r="S26" s="8"/>
      <c r="T26" s="8"/>
      <c r="U26" s="6"/>
      <c r="V26" s="6"/>
      <c r="W26" s="6"/>
      <c r="X26" s="6"/>
      <c r="Y26" s="6"/>
      <c r="Z26" s="6"/>
      <c r="AA26" s="6"/>
      <c r="AB26" s="8"/>
      <c r="AC26" s="8"/>
      <c r="AD26" s="8"/>
      <c r="AE26" s="8"/>
    </row>
    <row r="27" spans="1:45" x14ac:dyDescent="0.2">
      <c r="P27" s="8"/>
      <c r="Q27" s="8"/>
      <c r="R27" s="6"/>
      <c r="S27" s="8"/>
      <c r="T27" s="8"/>
      <c r="U27" s="6"/>
      <c r="V27" s="6"/>
      <c r="W27" s="6"/>
      <c r="X27" s="6"/>
      <c r="Y27" s="6"/>
      <c r="Z27" s="6"/>
      <c r="AA27" s="6"/>
      <c r="AB27" s="8"/>
      <c r="AC27" s="8"/>
      <c r="AD27" s="8"/>
      <c r="AE27" s="8"/>
    </row>
  </sheetData>
  <mergeCells count="26">
    <mergeCell ref="AF1:AI1"/>
    <mergeCell ref="AN1:AQ1"/>
    <mergeCell ref="AR1:AU1"/>
    <mergeCell ref="AB13:AC13"/>
    <mergeCell ref="AF13:AI13"/>
    <mergeCell ref="AJ13:AM13"/>
    <mergeCell ref="AN13:AQ13"/>
    <mergeCell ref="AR13:AU13"/>
    <mergeCell ref="AJ1:AM1"/>
    <mergeCell ref="AB1:AC1"/>
    <mergeCell ref="AD13:AE13"/>
    <mergeCell ref="AD1:AE1"/>
    <mergeCell ref="B1:D1"/>
    <mergeCell ref="E13:I13"/>
    <mergeCell ref="P13:R13"/>
    <mergeCell ref="S13:U13"/>
    <mergeCell ref="V13:W13"/>
    <mergeCell ref="B13:D13"/>
    <mergeCell ref="X13:Y13"/>
    <mergeCell ref="Z13:AA13"/>
    <mergeCell ref="E1:I1"/>
    <mergeCell ref="X1:Y1"/>
    <mergeCell ref="Z1:AA1"/>
    <mergeCell ref="P1:R1"/>
    <mergeCell ref="S1:U1"/>
    <mergeCell ref="V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A67D-EF02-FD4D-9AFA-7003E3DFA9E8}">
  <dimension ref="A1:BM45"/>
  <sheetViews>
    <sheetView topLeftCell="AY3" zoomScale="102" workbookViewId="0">
      <selection activeCell="AR28" sqref="AR28"/>
    </sheetView>
  </sheetViews>
  <sheetFormatPr baseColWidth="10" defaultColWidth="8.83203125" defaultRowHeight="15" x14ac:dyDescent="0.2"/>
  <cols>
    <col min="3" max="3" width="16" customWidth="1"/>
    <col min="4" max="4" width="27.5" bestFit="1" customWidth="1"/>
    <col min="5" max="5" width="26.83203125" customWidth="1"/>
    <col min="6" max="7" width="28.5" customWidth="1"/>
    <col min="8" max="8" width="28.5" style="13" customWidth="1"/>
    <col min="9" max="9" width="35.5" bestFit="1" customWidth="1"/>
    <col min="10" max="13" width="31.5" customWidth="1"/>
    <col min="14" max="14" width="27.83203125" style="13" customWidth="1"/>
    <col min="15" max="22" width="27.83203125" customWidth="1"/>
    <col min="23" max="23" width="28.83203125" customWidth="1"/>
    <col min="24" max="24" width="27.83203125" style="13" customWidth="1"/>
    <col min="25" max="27" width="27.83203125" customWidth="1"/>
    <col min="28" max="28" width="36.5" bestFit="1" customWidth="1"/>
    <col min="29" max="29" width="25.33203125" bestFit="1" customWidth="1"/>
    <col min="30" max="38" width="31.83203125" customWidth="1"/>
    <col min="39" max="39" width="38.6640625" bestFit="1" customWidth="1"/>
    <col min="40" max="44" width="38.6640625" customWidth="1"/>
    <col min="45" max="45" width="11.5" customWidth="1"/>
    <col min="46" max="46" width="14.5" bestFit="1" customWidth="1"/>
    <col min="47" max="47" width="11.1640625" customWidth="1"/>
    <col min="48" max="49" width="12" customWidth="1"/>
    <col min="50" max="50" width="14.5" bestFit="1" customWidth="1"/>
    <col min="51" max="52" width="12" customWidth="1"/>
    <col min="53" max="53" width="16" bestFit="1" customWidth="1"/>
    <col min="54" max="54" width="14.5" bestFit="1" customWidth="1"/>
    <col min="55" max="55" width="16" bestFit="1" customWidth="1"/>
    <col min="56" max="56" width="14.83203125" bestFit="1" customWidth="1"/>
    <col min="57" max="57" width="16" bestFit="1" customWidth="1"/>
    <col min="58" max="58" width="14.5" bestFit="1" customWidth="1"/>
    <col min="59" max="59" width="12.5" bestFit="1" customWidth="1"/>
    <col min="60" max="60" width="14.83203125" bestFit="1" customWidth="1"/>
  </cols>
  <sheetData>
    <row r="1" spans="1:65" s="2" customFormat="1" x14ac:dyDescent="0.2">
      <c r="A1" s="2" t="s">
        <v>90</v>
      </c>
      <c r="B1" s="51" t="s">
        <v>39</v>
      </c>
      <c r="C1" s="51"/>
      <c r="D1" s="51" t="s">
        <v>47</v>
      </c>
      <c r="E1" s="51"/>
      <c r="F1" s="51"/>
      <c r="G1" s="51"/>
      <c r="H1" s="52"/>
      <c r="I1" s="51"/>
      <c r="J1" s="51"/>
      <c r="K1" s="51"/>
      <c r="L1" s="51"/>
      <c r="M1" s="51"/>
      <c r="N1" s="51"/>
      <c r="O1" s="15"/>
      <c r="P1" s="15"/>
      <c r="Q1" s="15"/>
      <c r="R1" s="15"/>
      <c r="S1" s="15"/>
      <c r="T1" s="15"/>
      <c r="U1" s="15"/>
      <c r="V1" s="51" t="s">
        <v>135</v>
      </c>
      <c r="W1" s="51"/>
      <c r="X1" s="51"/>
      <c r="Y1" s="51" t="s">
        <v>136</v>
      </c>
      <c r="Z1" s="51"/>
      <c r="AA1" s="51"/>
      <c r="AB1" s="51" t="s">
        <v>91</v>
      </c>
      <c r="AC1" s="51"/>
      <c r="AD1" s="51" t="s">
        <v>48</v>
      </c>
      <c r="AE1" s="51"/>
      <c r="AF1" s="2" t="s">
        <v>137</v>
      </c>
      <c r="AG1" s="15" t="s">
        <v>87</v>
      </c>
      <c r="AH1" s="2" t="s">
        <v>92</v>
      </c>
      <c r="AI1" s="51" t="s">
        <v>138</v>
      </c>
      <c r="AJ1" s="51"/>
      <c r="AK1" s="51" t="s">
        <v>93</v>
      </c>
      <c r="AL1" s="51"/>
      <c r="AM1" s="51" t="s">
        <v>209</v>
      </c>
      <c r="AN1" s="51"/>
      <c r="AO1" s="51"/>
      <c r="AP1" s="51" t="s">
        <v>210</v>
      </c>
      <c r="AQ1" s="51"/>
      <c r="AR1" s="51"/>
      <c r="AS1" s="51" t="s">
        <v>141</v>
      </c>
      <c r="AT1" s="51"/>
      <c r="AU1" s="51"/>
      <c r="AV1" s="51"/>
      <c r="AW1" s="51" t="s">
        <v>142</v>
      </c>
      <c r="AX1" s="51"/>
      <c r="AY1" s="51"/>
      <c r="AZ1" s="51"/>
      <c r="BA1" s="51" t="s">
        <v>144</v>
      </c>
      <c r="BB1" s="51"/>
      <c r="BC1" s="51"/>
      <c r="BD1" s="51"/>
      <c r="BE1" s="51" t="s">
        <v>145</v>
      </c>
      <c r="BF1" s="51"/>
      <c r="BG1" s="51"/>
      <c r="BH1" s="51"/>
      <c r="BK1" s="51"/>
      <c r="BL1" s="51"/>
      <c r="BM1" s="51"/>
    </row>
    <row r="2" spans="1:65" s="9" customFormat="1" x14ac:dyDescent="0.2">
      <c r="B2" s="9" t="s">
        <v>39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  <c r="H2" s="11" t="s">
        <v>57</v>
      </c>
      <c r="I2" s="9" t="s">
        <v>94</v>
      </c>
      <c r="J2" s="9" t="s">
        <v>59</v>
      </c>
      <c r="K2" s="9" t="s">
        <v>60</v>
      </c>
      <c r="L2" s="9" t="s">
        <v>61</v>
      </c>
      <c r="M2" s="9" t="s">
        <v>62</v>
      </c>
      <c r="N2" s="11" t="s">
        <v>95</v>
      </c>
      <c r="O2" s="9" t="s">
        <v>58</v>
      </c>
      <c r="P2" s="9" t="s">
        <v>59</v>
      </c>
      <c r="Q2" s="9" t="s">
        <v>60</v>
      </c>
      <c r="R2" s="9" t="s">
        <v>61</v>
      </c>
      <c r="S2" s="9" t="s">
        <v>62</v>
      </c>
      <c r="T2" s="11" t="s">
        <v>63</v>
      </c>
      <c r="U2" s="9" t="s">
        <v>96</v>
      </c>
      <c r="V2" s="9" t="s">
        <v>64</v>
      </c>
      <c r="W2" s="9" t="s">
        <v>97</v>
      </c>
      <c r="X2" s="11" t="s">
        <v>66</v>
      </c>
      <c r="Y2" s="9" t="s">
        <v>64</v>
      </c>
      <c r="Z2" s="9" t="s">
        <v>97</v>
      </c>
      <c r="AA2" s="9" t="s">
        <v>66</v>
      </c>
      <c r="AB2" s="9" t="s">
        <v>98</v>
      </c>
      <c r="AC2" s="9" t="s">
        <v>99</v>
      </c>
      <c r="AD2" s="9" t="s">
        <v>100</v>
      </c>
      <c r="AE2" s="9" t="s">
        <v>68</v>
      </c>
      <c r="AF2" s="9" t="s">
        <v>101</v>
      </c>
      <c r="AG2" s="9" t="s">
        <v>101</v>
      </c>
      <c r="AM2" s="9" t="s">
        <v>140</v>
      </c>
      <c r="AN2" s="9" t="s">
        <v>139</v>
      </c>
      <c r="AO2" s="9" t="s">
        <v>250</v>
      </c>
      <c r="AP2" s="9" t="s">
        <v>140</v>
      </c>
      <c r="AQ2" s="9" t="s">
        <v>139</v>
      </c>
      <c r="AR2" s="9" t="s">
        <v>250</v>
      </c>
      <c r="AS2" s="17" t="s">
        <v>49</v>
      </c>
      <c r="AT2" s="9" t="s">
        <v>72</v>
      </c>
      <c r="AU2" s="9" t="s">
        <v>50</v>
      </c>
      <c r="AV2" s="9" t="s">
        <v>51</v>
      </c>
      <c r="AW2" s="17" t="s">
        <v>49</v>
      </c>
      <c r="AX2" s="9" t="s">
        <v>72</v>
      </c>
      <c r="AY2" s="9" t="s">
        <v>50</v>
      </c>
      <c r="AZ2" s="9" t="s">
        <v>51</v>
      </c>
      <c r="BA2" s="9" t="s">
        <v>49</v>
      </c>
      <c r="BB2" s="9" t="s">
        <v>72</v>
      </c>
      <c r="BC2" s="9" t="s">
        <v>50</v>
      </c>
      <c r="BD2" s="9" t="s">
        <v>51</v>
      </c>
      <c r="BE2" s="9" t="s">
        <v>49</v>
      </c>
      <c r="BF2" s="9" t="s">
        <v>72</v>
      </c>
      <c r="BG2" s="9" t="s">
        <v>50</v>
      </c>
      <c r="BH2" s="9" t="s">
        <v>51</v>
      </c>
    </row>
    <row r="3" spans="1:65" x14ac:dyDescent="0.2">
      <c r="A3" t="s">
        <v>77</v>
      </c>
      <c r="B3">
        <v>2026</v>
      </c>
      <c r="C3">
        <v>2</v>
      </c>
      <c r="D3" s="6">
        <f>Parameters!$B$4</f>
        <v>27012.440000000002</v>
      </c>
      <c r="E3">
        <f>Parameters!$B$5</f>
        <v>20778.68</v>
      </c>
      <c r="F3" s="5">
        <f>Parameters!$B$8</f>
        <v>1.01088</v>
      </c>
      <c r="G3" s="6">
        <f>D3*POWER(F3,C3)</f>
        <v>27603.428275777536</v>
      </c>
      <c r="H3" s="12">
        <f>E3*POWER(F3,C3)</f>
        <v>21233.28374057779</v>
      </c>
      <c r="I3" s="8">
        <f>Parameters!B3*Parameters!B39</f>
        <v>232117.8</v>
      </c>
      <c r="J3" s="8">
        <f>I3*Parameters!$B$10</f>
        <v>97489.475999999995</v>
      </c>
      <c r="K3" s="8">
        <f>I3*Parameters!$B$9</f>
        <v>134628.32399999999</v>
      </c>
      <c r="L3" s="8">
        <f>J3*G3</f>
        <v>2691043758.4091353</v>
      </c>
      <c r="M3" s="8">
        <f>K3*H3</f>
        <v>2858601403.0104384</v>
      </c>
      <c r="N3" s="14">
        <f>M3+L3</f>
        <v>5549645161.4195738</v>
      </c>
      <c r="O3" s="8">
        <f>Parameters!B39</f>
        <v>932200</v>
      </c>
      <c r="P3" s="8">
        <f>O3*Parameters!$B$10</f>
        <v>391524</v>
      </c>
      <c r="Q3" s="8">
        <f>O3*Parameters!$B$9</f>
        <v>540676</v>
      </c>
      <c r="R3" s="8">
        <f>P3*G3</f>
        <v>10807404652.245523</v>
      </c>
      <c r="S3" s="8">
        <f>Q3*H3</f>
        <v>11480326919.720636</v>
      </c>
      <c r="T3" s="14">
        <f>S3+R3</f>
        <v>22287731571.96616</v>
      </c>
      <c r="U3" s="8">
        <f>T3-SUM(N9:N13)</f>
        <v>20774191982.488094</v>
      </c>
      <c r="AA3" s="6">
        <f>SUM(AA4:AA13)</f>
        <v>20774191982.488098</v>
      </c>
      <c r="AB3" s="3">
        <f>Parameters!C39*Parameters!B2</f>
        <v>2728423.5</v>
      </c>
      <c r="AC3" s="3">
        <f>AB3+I3</f>
        <v>2960541.3</v>
      </c>
      <c r="AD3" s="6">
        <f>SUM(AD4:AD13)</f>
        <v>198650090348.23676</v>
      </c>
      <c r="AE3" s="6">
        <f>N3</f>
        <v>5549645161.4195738</v>
      </c>
      <c r="AF3" s="6">
        <f>AD3+AE3-X3</f>
        <v>204199735509.65634</v>
      </c>
      <c r="AG3" s="6">
        <f>AD3+AE3-AA3</f>
        <v>183425543527.16824</v>
      </c>
      <c r="AH3" s="8"/>
      <c r="AI3" s="6" t="s">
        <v>102</v>
      </c>
      <c r="AJ3" s="6" t="s">
        <v>70</v>
      </c>
      <c r="AK3" s="6" t="s">
        <v>103</v>
      </c>
      <c r="AL3" s="6" t="s">
        <v>70</v>
      </c>
      <c r="AS3" s="18">
        <f>SUM(AM4:AM13)</f>
        <v>35.993957027819505</v>
      </c>
      <c r="AT3" t="s">
        <v>143</v>
      </c>
      <c r="AU3">
        <f>SUM(AT4:AT13)</f>
        <v>18.971279720270235</v>
      </c>
      <c r="AV3" s="16">
        <f>MIN(AM5:AM13)</f>
        <v>3.5279444647043774</v>
      </c>
      <c r="AW3" s="16">
        <f>SUM(AO4:AO13)</f>
        <v>46.393416887500997</v>
      </c>
      <c r="AX3" s="16" t="s">
        <v>143</v>
      </c>
      <c r="AY3" s="16">
        <f>SUM(AX4:AX13)</f>
        <v>21.517849651060182</v>
      </c>
      <c r="AZ3" s="16">
        <f>MIN(AO5:AO13)</f>
        <v>4.1627448948434473</v>
      </c>
      <c r="BA3" s="23">
        <f>SUM(AP4:AP13)</f>
        <v>36.012333195416133</v>
      </c>
      <c r="BB3" t="s">
        <v>143</v>
      </c>
      <c r="BC3">
        <f>SUM(BB4:BB13)</f>
        <v>18.97616468518093</v>
      </c>
      <c r="BD3" s="23">
        <f>MIN(AP5:AP13)</f>
        <v>3.5321639870858439</v>
      </c>
      <c r="BE3" s="23">
        <f>SUM(AR4:AR13)</f>
        <v>46.493774993781201</v>
      </c>
      <c r="BF3" t="s">
        <v>143</v>
      </c>
      <c r="BG3">
        <f>SUM(BF3:BF13)</f>
        <v>21.542260925922267</v>
      </c>
      <c r="BH3" s="23">
        <f>MIN(AR5:AR13)</f>
        <v>4.1850424236171175</v>
      </c>
    </row>
    <row r="4" spans="1:65" x14ac:dyDescent="0.2">
      <c r="A4">
        <v>1</v>
      </c>
      <c r="D4" s="6"/>
      <c r="F4" s="5"/>
      <c r="G4" s="6"/>
      <c r="H4" s="12"/>
      <c r="I4" s="8"/>
      <c r="J4" s="8"/>
      <c r="K4" s="8"/>
      <c r="L4" s="8"/>
      <c r="M4" s="8"/>
      <c r="N4" s="14">
        <f>$N$3*Parameters!E15</f>
        <v>1009026392.9853771</v>
      </c>
      <c r="O4" s="8"/>
      <c r="P4" s="8"/>
      <c r="Q4" s="8"/>
      <c r="R4" s="8"/>
      <c r="S4" s="8"/>
      <c r="T4" s="8"/>
      <c r="U4" s="8"/>
      <c r="V4" s="16">
        <f>Parameters!C15</f>
        <v>3.6096393698449797E-3</v>
      </c>
      <c r="W4" s="16">
        <f>(V4*$U$3)/(Parameters!B15*POWER(Parameters!$B$8,$C$3))</f>
        <v>9.194570270991842E-2</v>
      </c>
      <c r="X4" s="12">
        <f>$U$3*V4</f>
        <v>74987341.256706953</v>
      </c>
      <c r="Y4" s="8" cm="1">
        <f t="array" ref="Y4:Y13">Parameters!D15:D24</f>
        <v>0</v>
      </c>
      <c r="Z4" s="30">
        <f>(Y4*$U$3)/(Parameters!B15*POWER(Parameters!$B$8, $C$3))</f>
        <v>0</v>
      </c>
      <c r="AA4" s="6">
        <f>$U$3*Y4</f>
        <v>0</v>
      </c>
      <c r="AB4" s="3"/>
      <c r="AC4" s="3"/>
      <c r="AD4" s="6">
        <f>Parameters!B15*POWER(Parameters!$B$8,$C$3)</f>
        <v>815561130.60863996</v>
      </c>
      <c r="AE4" s="6">
        <f>$AE$3*Parameters!E15</f>
        <v>1009026392.9853771</v>
      </c>
      <c r="AF4" s="6">
        <f>AD4+AE4-X4</f>
        <v>1749600182.3373101</v>
      </c>
      <c r="AG4" s="6">
        <f>AD4+AE4-AA4</f>
        <v>1824587523.594017</v>
      </c>
      <c r="AH4" s="8">
        <f>($AB$3+$I$3)/10</f>
        <v>296054.13</v>
      </c>
      <c r="AI4" s="6">
        <f>AF4/AH4</f>
        <v>5909.7307047779068</v>
      </c>
      <c r="AJ4" s="6">
        <f>(AF4-AE4)/AH4</f>
        <v>2501.4810276483322</v>
      </c>
      <c r="AK4" s="6">
        <f>AG4/AH4</f>
        <v>6163.0199977079092</v>
      </c>
      <c r="AL4" s="6">
        <f>(AG4-AE4)/AH4</f>
        <v>2754.7703205783346</v>
      </c>
      <c r="AM4" s="19">
        <f>(POWER(AI4, -0.26) - 1)/-0.26</f>
        <v>3.4439751588335046</v>
      </c>
      <c r="AN4" s="19">
        <f>(AM4-$AM$4)*100</f>
        <v>0</v>
      </c>
      <c r="AO4" s="19">
        <f>LOG(AI4)</f>
        <v>3.7715676913561134</v>
      </c>
      <c r="AP4" s="23">
        <f>(POWER(AK4, -0.26) - 1)/-0.26</f>
        <v>3.4483396087835314</v>
      </c>
      <c r="AQ4" s="23">
        <f>(AP4-$AP$4)*100</f>
        <v>0</v>
      </c>
      <c r="AR4" s="23">
        <f>LOG(AK4)</f>
        <v>3.7897935769275124</v>
      </c>
      <c r="AT4">
        <f>SQRT(AM4)</f>
        <v>1.855795020694232</v>
      </c>
      <c r="AX4">
        <f>SQRT(AO4)</f>
        <v>1.9420524429984154</v>
      </c>
      <c r="BB4" cm="1">
        <f t="array" ref="BB4:BB13">SQRT(AP4:AP13)</f>
        <v>1.8569705460193846</v>
      </c>
      <c r="BF4">
        <f>SQRT(AR4)</f>
        <v>1.9467392164662201</v>
      </c>
    </row>
    <row r="5" spans="1:65" x14ac:dyDescent="0.2">
      <c r="A5">
        <v>2</v>
      </c>
      <c r="D5" s="6"/>
      <c r="F5" s="5"/>
      <c r="G5" s="6"/>
      <c r="H5" s="12"/>
      <c r="I5" s="8"/>
      <c r="J5" s="8"/>
      <c r="K5" s="8"/>
      <c r="L5" s="8"/>
      <c r="M5" s="8"/>
      <c r="N5" s="14">
        <f>$N$3*Parameters!E16</f>
        <v>908123753.68683934</v>
      </c>
      <c r="O5" s="8"/>
      <c r="P5" s="8"/>
      <c r="Q5" s="8"/>
      <c r="R5" s="8"/>
      <c r="S5" s="8"/>
      <c r="T5" s="8"/>
      <c r="U5" s="8"/>
      <c r="V5" s="8">
        <f>Parameters!C16</f>
        <v>1.4401036406566694E-2</v>
      </c>
      <c r="W5" s="16">
        <f>(V5*$U$3)/(Parameters!B16*POWER(Parameters!$B$8,$C$3))</f>
        <v>8.0912218384728202E-2</v>
      </c>
      <c r="X5" s="12">
        <f>$U$3*V5</f>
        <v>299169895.056817</v>
      </c>
      <c r="Y5" s="8">
        <v>3.4800777499171295E-3</v>
      </c>
      <c r="Z5" s="30">
        <f>(Y5*$U$3)/(Parameters!B16*POWER(Parameters!$B$8, $C$3))</f>
        <v>1.9552815710453381E-2</v>
      </c>
      <c r="AA5" s="6">
        <f t="shared" ref="AA5:AA13" si="0">$U$3*Y5</f>
        <v>72295803.290763646</v>
      </c>
      <c r="AB5" s="3"/>
      <c r="AC5" s="3"/>
      <c r="AD5" s="6">
        <f>Parameters!B16*POWER(Parameters!$B$8,$C$3)</f>
        <v>3697462522.0915198</v>
      </c>
      <c r="AE5" s="6">
        <f>$AE$3*Parameters!E16</f>
        <v>908123753.68683934</v>
      </c>
      <c r="AF5" s="6">
        <f t="shared" ref="AF5:AF13" si="1">AD5+AE5-X5</f>
        <v>4306416380.7215424</v>
      </c>
      <c r="AG5" s="6">
        <f t="shared" ref="AG5:AG13" si="2">AD5+AE5-AA5</f>
        <v>4533290472.4875956</v>
      </c>
      <c r="AH5" s="8">
        <f t="shared" ref="AH5:AH13" si="3">($AB$3+$I$3)/10</f>
        <v>296054.13</v>
      </c>
      <c r="AI5" s="6">
        <f t="shared" ref="AI5:AI13" si="4">AF5/AH5</f>
        <v>14546.04393028242</v>
      </c>
      <c r="AJ5" s="6">
        <f t="shared" ref="AJ5:AJ13" si="5">(AF5-AE5)/AH5</f>
        <v>11478.619220865803</v>
      </c>
      <c r="AK5" s="6">
        <f t="shared" ref="AK5:AK13" si="6">AG5/AH5</f>
        <v>15312.370317170024</v>
      </c>
      <c r="AL5" s="6">
        <f t="shared" ref="AL5:AL13" si="7">(AG5-AE5)/AH5</f>
        <v>12244.945607753409</v>
      </c>
      <c r="AM5" s="19">
        <f t="shared" ref="AM5:AM13" si="8">(POWER(AI5, -0.26) - 1)/-0.26</f>
        <v>3.5279444647043774</v>
      </c>
      <c r="AN5" s="19">
        <f t="shared" ref="AN5:AN13" si="9">(AM5-$AM$4)*100</f>
        <v>8.3969305870872812</v>
      </c>
      <c r="AO5" s="19">
        <f t="shared" ref="AO5:AO13" si="10">LOG(AI5)</f>
        <v>4.1627448948434473</v>
      </c>
      <c r="AP5" s="23">
        <f t="shared" ref="AP5:AP13" si="11">(POWER(AK5, -0.26) - 1)/-0.26</f>
        <v>3.5321639870858439</v>
      </c>
      <c r="AQ5" s="23">
        <f>(AP5-$AP$4)*100</f>
        <v>8.3824378302312486</v>
      </c>
      <c r="AR5" s="23">
        <f t="shared" ref="AR5:AR13" si="12">LOG(AK5)</f>
        <v>4.1850424236171175</v>
      </c>
      <c r="AT5">
        <f t="shared" ref="AT5:AT13" si="13">SQRT(AM5)</f>
        <v>1.8782823176254355</v>
      </c>
      <c r="AX5">
        <f t="shared" ref="AX5:AX13" si="14">SQRT(AO5)</f>
        <v>2.0402805921841849</v>
      </c>
      <c r="BB5">
        <v>1.8794052216288653</v>
      </c>
      <c r="BF5">
        <f t="shared" ref="BF5:BF13" si="15">SQRT(AR5)</f>
        <v>2.0457376233566995</v>
      </c>
    </row>
    <row r="6" spans="1:65" x14ac:dyDescent="0.2">
      <c r="A6">
        <v>3</v>
      </c>
      <c r="D6" s="6"/>
      <c r="F6" s="5"/>
      <c r="G6" s="6"/>
      <c r="H6" s="12"/>
      <c r="I6" s="8"/>
      <c r="J6" s="8"/>
      <c r="K6" s="8"/>
      <c r="L6" s="8"/>
      <c r="M6" s="8"/>
      <c r="N6" s="14">
        <f>$N$3*Parameters!E17</f>
        <v>807221114.38830161</v>
      </c>
      <c r="O6" s="8"/>
      <c r="P6" s="8"/>
      <c r="Q6" s="8"/>
      <c r="R6" s="8"/>
      <c r="S6" s="8"/>
      <c r="T6" s="8"/>
      <c r="U6" s="8"/>
      <c r="V6" s="8">
        <f>Parameters!C17</f>
        <v>3.1399077404942015E-2</v>
      </c>
      <c r="W6" s="16">
        <f>(V6*$U$3)/(Parameters!B17*POWER(Parameters!$B$8,$C$3))</f>
        <v>8.4590046493124932E-2</v>
      </c>
      <c r="X6" s="12">
        <f t="shared" ref="X6:X13" si="16">$U$3*V6</f>
        <v>652290462.08326948</v>
      </c>
      <c r="Y6" s="8">
        <v>1.0886748490444263E-2</v>
      </c>
      <c r="Z6" s="30">
        <f>(Y6*$U$3)/(Parameters!B17*POWER(Parameters!$B$8, $C$3))</f>
        <v>2.9329223565680067E-2</v>
      </c>
      <c r="AA6" s="6">
        <f t="shared" si="0"/>
        <v>226163403.20555156</v>
      </c>
      <c r="AB6" s="3"/>
      <c r="AC6" s="3"/>
      <c r="AD6" s="6">
        <f>Parameters!B17*POWER(Parameters!$B$8,$C$3)</f>
        <v>7711196401.0598392</v>
      </c>
      <c r="AE6" s="6">
        <f>$AE$3*Parameters!E17</f>
        <v>807221114.38830161</v>
      </c>
      <c r="AF6" s="6">
        <f>AD6+AE6-X6</f>
        <v>7866127053.364872</v>
      </c>
      <c r="AG6" s="6">
        <f t="shared" si="2"/>
        <v>8292254112.24259</v>
      </c>
      <c r="AH6" s="8">
        <f t="shared" si="3"/>
        <v>296054.13</v>
      </c>
      <c r="AI6" s="6">
        <f>AF6/AH6</f>
        <v>26569.894678938854</v>
      </c>
      <c r="AJ6" s="6">
        <f>(AF6-AE6)/AH6</f>
        <v>23843.294937235194</v>
      </c>
      <c r="AK6" s="6">
        <f t="shared" si="6"/>
        <v>28009.249903869233</v>
      </c>
      <c r="AL6" s="6">
        <f t="shared" si="7"/>
        <v>25282.650162165573</v>
      </c>
      <c r="AM6" s="19">
        <f t="shared" si="8"/>
        <v>3.57408094005975</v>
      </c>
      <c r="AN6" s="19">
        <f t="shared" si="9"/>
        <v>13.010578122624539</v>
      </c>
      <c r="AO6" s="19">
        <f t="shared" si="10"/>
        <v>4.424389832903076</v>
      </c>
      <c r="AP6" s="23">
        <f t="shared" si="11"/>
        <v>3.5777873675182845</v>
      </c>
      <c r="AQ6" s="23">
        <f t="shared" ref="AQ6:AQ13" si="17">(AP6-$AP$4)*100</f>
        <v>12.944775873475312</v>
      </c>
      <c r="AR6" s="23">
        <f t="shared" si="12"/>
        <v>4.4473014784425446</v>
      </c>
      <c r="AT6">
        <f t="shared" si="13"/>
        <v>1.8905239855817091</v>
      </c>
      <c r="AX6">
        <f t="shared" si="14"/>
        <v>2.1034233603587928</v>
      </c>
      <c r="BB6">
        <v>1.8915039961676752</v>
      </c>
      <c r="BF6">
        <f t="shared" si="15"/>
        <v>2.1088626030262247</v>
      </c>
    </row>
    <row r="7" spans="1:65" x14ac:dyDescent="0.2">
      <c r="A7">
        <v>4</v>
      </c>
      <c r="D7" s="6"/>
      <c r="F7" s="5"/>
      <c r="G7" s="6"/>
      <c r="H7" s="6"/>
      <c r="I7" s="8"/>
      <c r="J7" s="8"/>
      <c r="K7" s="8"/>
      <c r="L7" s="8"/>
      <c r="M7" s="8"/>
      <c r="N7" s="14">
        <f>$N$3*Parameters!E18</f>
        <v>706318475.08976388</v>
      </c>
      <c r="O7" s="8"/>
      <c r="P7" s="8"/>
      <c r="Q7" s="8"/>
      <c r="R7" s="8"/>
      <c r="S7" s="8"/>
      <c r="T7" s="8"/>
      <c r="U7" s="8"/>
      <c r="V7" s="8">
        <f>Parameters!C18</f>
        <v>5.1692242898110294E-2</v>
      </c>
      <c r="W7" s="16">
        <f>(V7*$U$3)/(Parameters!B18*POWER(Parameters!$B$8,$C$3))</f>
        <v>8.8267874601521676E-2</v>
      </c>
      <c r="X7" s="12">
        <f t="shared" si="16"/>
        <v>1073864577.9707501</v>
      </c>
      <c r="Y7" s="8">
        <v>2.2901398806974758E-2</v>
      </c>
      <c r="Z7" s="30">
        <f>(Y7*$U$3)/(Parameters!B18*POWER(Parameters!$B$8, $C$3))</f>
        <v>3.9105631420906756E-2</v>
      </c>
      <c r="AA7" s="6">
        <f t="shared" si="0"/>
        <v>475758055.48361742</v>
      </c>
      <c r="AB7" s="3"/>
      <c r="AC7" s="3"/>
      <c r="AD7" s="6">
        <f>Parameters!B18*POWER(Parameters!$B$8,$C$3)</f>
        <v>12165972986.419199</v>
      </c>
      <c r="AE7" s="6">
        <f>$AE$3*Parameters!E18</f>
        <v>706318475.08976388</v>
      </c>
      <c r="AF7" s="6">
        <f t="shared" si="1"/>
        <v>11798426883.538212</v>
      </c>
      <c r="AG7" s="6">
        <f t="shared" si="2"/>
        <v>12396533406.025345</v>
      </c>
      <c r="AH7" s="8">
        <f t="shared" si="3"/>
        <v>296054.13</v>
      </c>
      <c r="AI7" s="6">
        <f>AF7/AH7</f>
        <v>39852.262434367025</v>
      </c>
      <c r="AJ7" s="6">
        <f t="shared" si="5"/>
        <v>37466.487660376326</v>
      </c>
      <c r="AK7" s="6">
        <f t="shared" si="6"/>
        <v>41872.523129555208</v>
      </c>
      <c r="AL7" s="6">
        <f t="shared" si="7"/>
        <v>39486.748355564509</v>
      </c>
      <c r="AM7" s="19">
        <f t="shared" si="8"/>
        <v>3.601298902546973</v>
      </c>
      <c r="AN7" s="19">
        <f t="shared" si="9"/>
        <v>15.732374371346847</v>
      </c>
      <c r="AO7" s="19">
        <f t="shared" si="10"/>
        <v>4.6004529815632589</v>
      </c>
      <c r="AP7" s="23">
        <f t="shared" si="11"/>
        <v>3.6044268930469832</v>
      </c>
      <c r="AQ7" s="23">
        <f t="shared" si="17"/>
        <v>15.608728426345175</v>
      </c>
      <c r="AR7" s="23">
        <f t="shared" si="12"/>
        <v>4.6219291311378949</v>
      </c>
      <c r="AT7">
        <f t="shared" si="13"/>
        <v>1.897708856107009</v>
      </c>
      <c r="AX7">
        <f t="shared" si="14"/>
        <v>2.144866658224529</v>
      </c>
      <c r="BB7">
        <v>1.898532826433871</v>
      </c>
      <c r="BF7">
        <f t="shared" si="15"/>
        <v>2.149867235700357</v>
      </c>
    </row>
    <row r="8" spans="1:65" x14ac:dyDescent="0.2">
      <c r="A8">
        <v>5</v>
      </c>
      <c r="D8" s="6"/>
      <c r="E8" s="5"/>
      <c r="F8" s="6"/>
      <c r="G8" s="6"/>
      <c r="H8" s="12"/>
      <c r="I8" s="8"/>
      <c r="J8" s="8"/>
      <c r="K8" s="6"/>
      <c r="L8" s="6"/>
      <c r="M8" s="6"/>
      <c r="N8" s="14">
        <f>$N$3*Parameters!E19</f>
        <v>605415835.79122615</v>
      </c>
      <c r="O8" s="6"/>
      <c r="P8" s="6"/>
      <c r="Q8" s="6"/>
      <c r="R8" s="6"/>
      <c r="S8" s="6"/>
      <c r="T8" s="6"/>
      <c r="U8" s="6"/>
      <c r="V8" s="8">
        <f>Parameters!C19</f>
        <v>7.0583126136746943E-2</v>
      </c>
      <c r="W8" s="16">
        <f>(V8*$U$3)/(Parameters!B19*POWER(Parameters!$B$8,$C$3))</f>
        <v>9.194570270991842E-2</v>
      </c>
      <c r="X8" s="12">
        <f t="shared" si="16"/>
        <v>1466307413.0889542</v>
      </c>
      <c r="Y8" s="8">
        <v>3.7524833052111288E-2</v>
      </c>
      <c r="Z8" s="30">
        <f>(Y8*$U$3)/(Parameters!B19*POWER(Parameters!$B$8, $C$3))</f>
        <v>4.8882039276133445E-2</v>
      </c>
      <c r="AA8" s="6">
        <f t="shared" si="0"/>
        <v>779548085.93537462</v>
      </c>
      <c r="AB8" s="3"/>
      <c r="AC8" s="3"/>
      <c r="AD8" s="6">
        <f>Parameters!B19*POWER(Parameters!$B$8,$C$3)</f>
        <v>15947536098.723839</v>
      </c>
      <c r="AE8" s="6">
        <f>$AE$3*Parameters!E19</f>
        <v>605415835.79122615</v>
      </c>
      <c r="AF8" s="6">
        <f t="shared" si="1"/>
        <v>15086644521.426109</v>
      </c>
      <c r="AG8" s="6">
        <f t="shared" si="2"/>
        <v>15773403848.579689</v>
      </c>
      <c r="AH8" s="8">
        <f t="shared" si="3"/>
        <v>296054.13</v>
      </c>
      <c r="AI8" s="6">
        <f t="shared" si="4"/>
        <v>50959.074684842628</v>
      </c>
      <c r="AJ8" s="6">
        <f t="shared" si="5"/>
        <v>48914.124878564886</v>
      </c>
      <c r="AK8" s="6">
        <f t="shared" si="6"/>
        <v>53278.78333796488</v>
      </c>
      <c r="AL8" s="6">
        <f t="shared" si="7"/>
        <v>51233.833531687138</v>
      </c>
      <c r="AM8" s="19">
        <f t="shared" si="8"/>
        <v>3.6164601621673524</v>
      </c>
      <c r="AN8" s="19">
        <f t="shared" si="9"/>
        <v>17.248500333384786</v>
      </c>
      <c r="AO8" s="19">
        <f t="shared" si="10"/>
        <v>4.7072215334773073</v>
      </c>
      <c r="AP8" s="23">
        <f t="shared" si="11"/>
        <v>3.6191033086619564</v>
      </c>
      <c r="AQ8" s="23">
        <f t="shared" si="17"/>
        <v>17.076369987842497</v>
      </c>
      <c r="AR8" s="23">
        <f t="shared" si="12"/>
        <v>4.7265542988266356</v>
      </c>
      <c r="AT8">
        <f t="shared" si="13"/>
        <v>1.9016992827908814</v>
      </c>
      <c r="AX8">
        <f t="shared" si="14"/>
        <v>2.169613222092202</v>
      </c>
      <c r="BB8">
        <v>1.9023940991976285</v>
      </c>
      <c r="BF8">
        <f t="shared" si="15"/>
        <v>2.1740640052276832</v>
      </c>
    </row>
    <row r="9" spans="1:65" x14ac:dyDescent="0.2">
      <c r="A9">
        <v>6</v>
      </c>
      <c r="N9" s="14">
        <f>$N$3*Parameters!E20</f>
        <v>504513196.49268854</v>
      </c>
      <c r="O9" s="8"/>
      <c r="P9" s="8"/>
      <c r="Q9" s="8"/>
      <c r="R9" s="8"/>
      <c r="S9" s="8"/>
      <c r="T9" s="8"/>
      <c r="U9" s="8"/>
      <c r="V9" s="8">
        <f>Parameters!C20</f>
        <v>9.0905110853151228E-2</v>
      </c>
      <c r="W9" s="16">
        <f>(V9*$U$3)/(Parameters!B20*POWER(Parameters!$B$8,$C$3))</f>
        <v>9.9301358926711894E-2</v>
      </c>
      <c r="X9" s="12">
        <f t="shared" si="16"/>
        <v>1888480225.0527258</v>
      </c>
      <c r="Y9" s="8">
        <v>5.3698687476024153E-2</v>
      </c>
      <c r="Z9" s="30">
        <f>(Y9*$U$3)/(Parameters!B20*POWER(Parameters!$B$8, $C$3))</f>
        <v>5.8658447131360134E-2</v>
      </c>
      <c r="AA9" s="6">
        <f t="shared" si="0"/>
        <v>1115546842.8345549</v>
      </c>
      <c r="AB9" s="3"/>
      <c r="AC9" s="3"/>
      <c r="AD9" s="6">
        <f>Parameters!B20*POWER(Parameters!$B$8,$C$3)</f>
        <v>19017667486.771198</v>
      </c>
      <c r="AE9" s="6"/>
      <c r="AF9" s="6">
        <f t="shared" si="1"/>
        <v>17129187261.718472</v>
      </c>
      <c r="AG9" s="6">
        <f t="shared" si="2"/>
        <v>17902120643.936642</v>
      </c>
      <c r="AH9" s="8">
        <f t="shared" si="3"/>
        <v>296054.13</v>
      </c>
      <c r="AI9" s="6">
        <f t="shared" si="4"/>
        <v>57858.295243908506</v>
      </c>
      <c r="AJ9" s="6">
        <f t="shared" si="5"/>
        <v>57858.295243908506</v>
      </c>
      <c r="AK9" s="6">
        <f t="shared" si="6"/>
        <v>60469.079232019634</v>
      </c>
      <c r="AL9" s="6">
        <f t="shared" si="7"/>
        <v>60469.079232019634</v>
      </c>
      <c r="AM9" s="19">
        <f t="shared" si="8"/>
        <v>3.6239192913807998</v>
      </c>
      <c r="AN9" s="19">
        <f t="shared" si="9"/>
        <v>17.994413254729523</v>
      </c>
      <c r="AO9" s="19">
        <f t="shared" si="10"/>
        <v>4.7623656333031388</v>
      </c>
      <c r="AP9" s="23">
        <f t="shared" si="11"/>
        <v>3.626454897037644</v>
      </c>
      <c r="AQ9" s="23">
        <f t="shared" si="17"/>
        <v>17.811528825411258</v>
      </c>
      <c r="AR9" s="23">
        <f t="shared" si="12"/>
        <v>4.7815333556160704</v>
      </c>
      <c r="AT9">
        <f t="shared" si="13"/>
        <v>1.903659447322656</v>
      </c>
      <c r="AX9">
        <f t="shared" si="14"/>
        <v>2.1822844987084382</v>
      </c>
      <c r="BB9">
        <v>1.9043253128175459</v>
      </c>
      <c r="BF9">
        <f t="shared" si="15"/>
        <v>2.1866717530567019</v>
      </c>
    </row>
    <row r="10" spans="1:65" x14ac:dyDescent="0.2">
      <c r="A10">
        <v>7</v>
      </c>
      <c r="N10" s="14">
        <f>$N$3*Parameters!E21</f>
        <v>403610557.19415081</v>
      </c>
      <c r="V10" s="8">
        <f>Parameters!C21</f>
        <v>0.11035602414482847</v>
      </c>
      <c r="W10" s="16">
        <f>(V10*$U$3)/(Parameters!B21*POWER(Parameters!$B$8,$C$3))</f>
        <v>0.10297918703510864</v>
      </c>
      <c r="X10" s="12">
        <f t="shared" si="16"/>
        <v>2292557232.0087581</v>
      </c>
      <c r="Y10" s="8">
        <v>8.3813868210341438E-2</v>
      </c>
      <c r="Z10" s="30">
        <f>(Y10*$U$3)/(Parameters!B21*POWER(Parameters!$B$8, $C$3))</f>
        <v>7.8211262841813511E-2</v>
      </c>
      <c r="AA10" s="6">
        <f t="shared" si="0"/>
        <v>1741165388.9965889</v>
      </c>
      <c r="AD10" s="6">
        <f>Parameters!B21*POWER(Parameters!$B$8,$C$3)</f>
        <v>22262335701.16608</v>
      </c>
      <c r="AE10" s="6"/>
      <c r="AF10" s="6">
        <f t="shared" si="1"/>
        <v>19969778469.157322</v>
      </c>
      <c r="AG10" s="6">
        <f t="shared" si="2"/>
        <v>20521170312.169491</v>
      </c>
      <c r="AH10" s="8">
        <f t="shared" si="3"/>
        <v>296054.13</v>
      </c>
      <c r="AI10" s="6">
        <f t="shared" si="4"/>
        <v>67453.132537476587</v>
      </c>
      <c r="AJ10" s="6">
        <f t="shared" si="5"/>
        <v>67453.132537476587</v>
      </c>
      <c r="AK10" s="6">
        <f t="shared" si="6"/>
        <v>69315.60222507111</v>
      </c>
      <c r="AL10" s="6">
        <f t="shared" si="7"/>
        <v>69315.60222507111</v>
      </c>
      <c r="AM10" s="19">
        <f t="shared" si="8"/>
        <v>3.6326104723150094</v>
      </c>
      <c r="AN10" s="19">
        <f t="shared" si="9"/>
        <v>18.863531348150488</v>
      </c>
      <c r="AO10" s="19">
        <f t="shared" si="10"/>
        <v>4.8290021232021454</v>
      </c>
      <c r="AP10" s="23">
        <f t="shared" si="11"/>
        <v>3.6341173632777921</v>
      </c>
      <c r="AQ10" s="23">
        <f t="shared" si="17"/>
        <v>18.577775449426071</v>
      </c>
      <c r="AR10" s="23">
        <f t="shared" si="12"/>
        <v>4.8408310008109021</v>
      </c>
      <c r="AT10">
        <f t="shared" si="13"/>
        <v>1.9059408365201187</v>
      </c>
      <c r="AX10">
        <f t="shared" si="14"/>
        <v>2.1974990610241782</v>
      </c>
      <c r="BB10">
        <v>1.9063361097345326</v>
      </c>
      <c r="BF10">
        <f t="shared" si="15"/>
        <v>2.2001888557146412</v>
      </c>
    </row>
    <row r="11" spans="1:65" x14ac:dyDescent="0.2">
      <c r="A11">
        <v>8</v>
      </c>
      <c r="N11" s="14">
        <f>$N$3*Parameters!E22</f>
        <v>302707917.89561307</v>
      </c>
      <c r="V11" s="8">
        <f>Parameters!C22</f>
        <v>0.13623161609900061</v>
      </c>
      <c r="W11" s="16">
        <f>(V11*$U$3)/(Parameters!B22*POWER(Parameters!$B$8,$C$3))</f>
        <v>0.10665701514350534</v>
      </c>
      <c r="X11" s="12">
        <f t="shared" si="16"/>
        <v>2830101746.9252543</v>
      </c>
      <c r="Y11" s="8">
        <v>0.13736006243615159</v>
      </c>
      <c r="Z11" s="30">
        <f>(Y11*$U$3)/(Parameters!B22*POWER(Parameters!$B$8, $C$3))</f>
        <v>0.1075404864074936</v>
      </c>
      <c r="AA11" s="6">
        <f t="shared" si="0"/>
        <v>2853544307.7751646</v>
      </c>
      <c r="AD11" s="6">
        <f>Parameters!B22*POWER(Parameters!$B$8,$C$3)</f>
        <v>26534604808.857597</v>
      </c>
      <c r="AE11" s="6"/>
      <c r="AF11" s="6">
        <f t="shared" si="1"/>
        <v>23704503061.932343</v>
      </c>
      <c r="AG11" s="6">
        <f t="shared" si="2"/>
        <v>23681060501.082432</v>
      </c>
      <c r="AH11" s="8">
        <f t="shared" si="3"/>
        <v>296054.13</v>
      </c>
      <c r="AI11" s="6">
        <f t="shared" si="4"/>
        <v>80068.138424322417</v>
      </c>
      <c r="AJ11" s="6">
        <f t="shared" si="5"/>
        <v>80068.138424322417</v>
      </c>
      <c r="AK11" s="6">
        <f t="shared" si="6"/>
        <v>79988.955064002759</v>
      </c>
      <c r="AL11" s="6">
        <f t="shared" si="7"/>
        <v>79988.955064002759</v>
      </c>
      <c r="AM11" s="19">
        <f t="shared" si="8"/>
        <v>3.6419202794409267</v>
      </c>
      <c r="AN11" s="19">
        <f t="shared" si="9"/>
        <v>19.794512060742207</v>
      </c>
      <c r="AO11" s="19">
        <f t="shared" si="10"/>
        <v>4.9034597313241699</v>
      </c>
      <c r="AP11" s="23">
        <f t="shared" si="11"/>
        <v>3.6418677327507183</v>
      </c>
      <c r="AQ11" s="23">
        <f t="shared" si="17"/>
        <v>19.35281239671869</v>
      </c>
      <c r="AR11" s="23">
        <f t="shared" si="12"/>
        <v>4.9030300234180544</v>
      </c>
      <c r="AT11">
        <f t="shared" si="13"/>
        <v>1.9083815864341509</v>
      </c>
      <c r="AX11">
        <f t="shared" si="14"/>
        <v>2.2143756978715627</v>
      </c>
      <c r="BB11">
        <v>1.9083678190408468</v>
      </c>
      <c r="BF11">
        <f t="shared" si="15"/>
        <v>2.2142786688712093</v>
      </c>
    </row>
    <row r="12" spans="1:65" x14ac:dyDescent="0.2">
      <c r="A12">
        <v>9</v>
      </c>
      <c r="N12" s="14">
        <f>$N$3*Parameters!E23</f>
        <v>201805278.5970754</v>
      </c>
      <c r="V12" s="8">
        <f>Parameters!C23</f>
        <v>0.17539672338276532</v>
      </c>
      <c r="W12" s="16">
        <f>(V12*$U$3)/(Parameters!B23*POWER(Parameters!$B$8,$C$3))</f>
        <v>0.11033484325190208</v>
      </c>
      <c r="X12" s="12">
        <f t="shared" si="16"/>
        <v>3643725204.6529255</v>
      </c>
      <c r="Y12" s="8">
        <v>0.21757858127224192</v>
      </c>
      <c r="Z12" s="30">
        <f>(Y12*$U$3)/(Parameters!B23*POWER(Parameters!$B$8, $C$3))</f>
        <v>0.13686970997317363</v>
      </c>
      <c r="AA12" s="6">
        <f t="shared" si="0"/>
        <v>4520019218.6269426</v>
      </c>
      <c r="AD12" s="6">
        <f>Parameters!B23*POWER(Parameters!$B$8,$C$3)</f>
        <v>33024247801.159679</v>
      </c>
      <c r="AE12" s="6"/>
      <c r="AF12" s="6">
        <f t="shared" si="1"/>
        <v>29380522596.506752</v>
      </c>
      <c r="AG12" s="6">
        <f t="shared" si="2"/>
        <v>28504228582.532738</v>
      </c>
      <c r="AH12" s="8">
        <f t="shared" si="3"/>
        <v>296054.13</v>
      </c>
      <c r="AI12" s="6">
        <f t="shared" si="4"/>
        <v>99240.37403736524</v>
      </c>
      <c r="AJ12" s="6">
        <f t="shared" si="5"/>
        <v>99240.37403736524</v>
      </c>
      <c r="AK12" s="6">
        <f t="shared" si="6"/>
        <v>96280.462571262688</v>
      </c>
      <c r="AL12" s="6">
        <f t="shared" si="7"/>
        <v>96280.462571262688</v>
      </c>
      <c r="AM12" s="19">
        <f t="shared" si="8"/>
        <v>3.653006978236474</v>
      </c>
      <c r="AN12" s="19">
        <f t="shared" si="9"/>
        <v>20.903181940296946</v>
      </c>
      <c r="AO12" s="19">
        <f t="shared" si="10"/>
        <v>4.9966883924608894</v>
      </c>
      <c r="AP12" s="23">
        <f t="shared" si="11"/>
        <v>3.6514803948960028</v>
      </c>
      <c r="AQ12" s="23">
        <f t="shared" si="17"/>
        <v>20.314078611247144</v>
      </c>
      <c r="AR12" s="23">
        <f t="shared" si="12"/>
        <v>4.9835381681387663</v>
      </c>
      <c r="AT12">
        <f t="shared" si="13"/>
        <v>1.9112841176121551</v>
      </c>
      <c r="AX12">
        <f t="shared" si="14"/>
        <v>2.2353273568900125</v>
      </c>
      <c r="BB12">
        <v>1.9108847152290487</v>
      </c>
      <c r="BF12">
        <f t="shared" si="15"/>
        <v>2.2323839652126973</v>
      </c>
    </row>
    <row r="13" spans="1:65" x14ac:dyDescent="0.2">
      <c r="A13">
        <v>10</v>
      </c>
      <c r="N13" s="14">
        <f>$N$3*Parameters!E24</f>
        <v>100902639.2985377</v>
      </c>
      <c r="V13" s="8">
        <f>Parameters!C24</f>
        <v>0.31542540330404345</v>
      </c>
      <c r="W13" s="16">
        <f>(V13*$U$3)/(Parameters!B24*POWER(Parameters!$B$8,$C$3))</f>
        <v>0.11401267136029884</v>
      </c>
      <c r="X13" s="12">
        <f t="shared" si="16"/>
        <v>6552707884.3919334</v>
      </c>
      <c r="Y13" s="8">
        <v>0.43275574250579357</v>
      </c>
      <c r="Z13" s="30">
        <f>(Y13*$U$3)/(Parameters!B24*POWER(Parameters!$B$8, $C$3))</f>
        <v>0.15642252568362702</v>
      </c>
      <c r="AA13" s="6">
        <f t="shared" si="0"/>
        <v>8990150876.3395386</v>
      </c>
      <c r="AD13" s="6">
        <f>Parameters!B24*POWER(Parameters!$B$8,$C$3)</f>
        <v>57473505411.379196</v>
      </c>
      <c r="AE13" s="6"/>
      <c r="AF13" s="6">
        <f t="shared" si="1"/>
        <v>50920797526.987259</v>
      </c>
      <c r="AG13" s="6">
        <f t="shared" si="2"/>
        <v>48483354535.039658</v>
      </c>
      <c r="AH13" s="8">
        <f t="shared" si="3"/>
        <v>296054.13</v>
      </c>
      <c r="AI13" s="6">
        <f t="shared" si="4"/>
        <v>171998.26777281324</v>
      </c>
      <c r="AJ13" s="6">
        <f t="shared" si="5"/>
        <v>171998.26777281324</v>
      </c>
      <c r="AK13" s="6">
        <f t="shared" si="6"/>
        <v>163765.16867047138</v>
      </c>
      <c r="AL13" s="6">
        <f t="shared" si="7"/>
        <v>163765.16867047138</v>
      </c>
      <c r="AM13" s="19">
        <f t="shared" si="8"/>
        <v>3.6787403781343393</v>
      </c>
      <c r="AN13" s="19">
        <f t="shared" si="9"/>
        <v>23.476521930083472</v>
      </c>
      <c r="AO13" s="19">
        <f t="shared" si="10"/>
        <v>5.2355240730674506</v>
      </c>
      <c r="AP13" s="23">
        <f t="shared" si="11"/>
        <v>3.6765916423573768</v>
      </c>
      <c r="AQ13" s="23">
        <f t="shared" si="17"/>
        <v>22.825203357384538</v>
      </c>
      <c r="AR13" s="23">
        <f t="shared" si="12"/>
        <v>5.2142215368457094</v>
      </c>
      <c r="AT13">
        <f t="shared" si="13"/>
        <v>1.9180042695818849</v>
      </c>
      <c r="AX13">
        <f t="shared" si="14"/>
        <v>2.2881267607078613</v>
      </c>
      <c r="BB13">
        <v>1.9174440389115341</v>
      </c>
      <c r="BF13">
        <f t="shared" si="15"/>
        <v>2.283466999289832</v>
      </c>
    </row>
    <row r="14" spans="1:65" x14ac:dyDescent="0.2">
      <c r="I14" s="24"/>
      <c r="N14" s="14"/>
      <c r="V14" s="29"/>
    </row>
    <row r="15" spans="1:65" x14ac:dyDescent="0.2">
      <c r="A15" s="2" t="s">
        <v>90</v>
      </c>
      <c r="B15" s="51" t="s">
        <v>39</v>
      </c>
      <c r="C15" s="51"/>
      <c r="D15" s="51" t="s">
        <v>47</v>
      </c>
      <c r="E15" s="51"/>
      <c r="F15" s="51"/>
      <c r="G15" s="51"/>
      <c r="H15" s="52"/>
      <c r="I15" s="51"/>
      <c r="J15" s="51"/>
      <c r="K15" s="51"/>
      <c r="L15" s="51"/>
      <c r="M15" s="51"/>
      <c r="N15" s="51"/>
      <c r="O15" s="15"/>
      <c r="P15" s="15"/>
      <c r="Q15" s="15"/>
      <c r="R15" s="15"/>
      <c r="S15" s="15"/>
      <c r="T15" s="15"/>
      <c r="U15" s="15"/>
      <c r="V15" s="51" t="s">
        <v>135</v>
      </c>
      <c r="W15" s="51"/>
      <c r="X15" s="51"/>
      <c r="Y15" s="51" t="s">
        <v>136</v>
      </c>
      <c r="Z15" s="51"/>
      <c r="AA15" s="51"/>
      <c r="AB15" s="51" t="s">
        <v>91</v>
      </c>
      <c r="AC15" s="51"/>
      <c r="AD15" s="51" t="s">
        <v>48</v>
      </c>
      <c r="AE15" s="51"/>
      <c r="AF15" s="2" t="s">
        <v>137</v>
      </c>
      <c r="AG15" s="15" t="s">
        <v>87</v>
      </c>
      <c r="AH15" s="2" t="s">
        <v>92</v>
      </c>
      <c r="AI15" s="2" t="s">
        <v>138</v>
      </c>
      <c r="AJ15" s="2"/>
      <c r="AK15" s="15" t="s">
        <v>93</v>
      </c>
      <c r="AL15" s="15"/>
      <c r="AM15" s="51" t="s">
        <v>209</v>
      </c>
      <c r="AN15" s="51"/>
      <c r="AO15" s="51"/>
      <c r="AP15" s="51" t="s">
        <v>210</v>
      </c>
      <c r="AQ15" s="51"/>
      <c r="AR15" s="51"/>
      <c r="AS15" s="51" t="s">
        <v>141</v>
      </c>
      <c r="AT15" s="51"/>
      <c r="AU15" s="51"/>
      <c r="AV15" s="51"/>
      <c r="AW15" s="51" t="s">
        <v>142</v>
      </c>
      <c r="AX15" s="51"/>
      <c r="AY15" s="51"/>
      <c r="AZ15" s="51"/>
      <c r="BA15" s="51" t="s">
        <v>144</v>
      </c>
      <c r="BB15" s="51"/>
      <c r="BC15" s="51"/>
      <c r="BD15" s="51"/>
      <c r="BE15" s="51" t="s">
        <v>145</v>
      </c>
      <c r="BF15" s="51"/>
      <c r="BG15" s="51"/>
      <c r="BH15" s="51"/>
    </row>
    <row r="16" spans="1:65" x14ac:dyDescent="0.2">
      <c r="A16" s="9"/>
      <c r="B16" s="9" t="s">
        <v>39</v>
      </c>
      <c r="C16" s="9" t="s">
        <v>52</v>
      </c>
      <c r="D16" s="9" t="s">
        <v>53</v>
      </c>
      <c r="E16" s="9" t="s">
        <v>54</v>
      </c>
      <c r="F16" s="9" t="s">
        <v>55</v>
      </c>
      <c r="G16" s="9" t="s">
        <v>56</v>
      </c>
      <c r="H16" s="11" t="s">
        <v>57</v>
      </c>
      <c r="I16" s="9" t="s">
        <v>94</v>
      </c>
      <c r="J16" s="9" t="s">
        <v>59</v>
      </c>
      <c r="K16" s="9" t="s">
        <v>60</v>
      </c>
      <c r="L16" s="9" t="s">
        <v>61</v>
      </c>
      <c r="M16" s="9" t="s">
        <v>62</v>
      </c>
      <c r="N16" s="11" t="s">
        <v>95</v>
      </c>
      <c r="O16" s="9" t="s">
        <v>58</v>
      </c>
      <c r="P16" s="9" t="s">
        <v>59</v>
      </c>
      <c r="Q16" s="9" t="s">
        <v>60</v>
      </c>
      <c r="R16" s="9" t="s">
        <v>61</v>
      </c>
      <c r="S16" s="9" t="s">
        <v>62</v>
      </c>
      <c r="T16" s="11" t="s">
        <v>63</v>
      </c>
      <c r="U16" s="9" t="s">
        <v>96</v>
      </c>
      <c r="V16" s="9" t="s">
        <v>64</v>
      </c>
      <c r="W16" s="9" t="s">
        <v>97</v>
      </c>
      <c r="X16" s="11" t="s">
        <v>66</v>
      </c>
      <c r="Y16" s="9" t="s">
        <v>64</v>
      </c>
      <c r="Z16" s="9" t="s">
        <v>97</v>
      </c>
      <c r="AA16" s="9" t="s">
        <v>66</v>
      </c>
      <c r="AB16" s="9" t="s">
        <v>98</v>
      </c>
      <c r="AC16" s="9" t="s">
        <v>99</v>
      </c>
      <c r="AD16" s="9" t="s">
        <v>100</v>
      </c>
      <c r="AE16" s="9" t="s">
        <v>68</v>
      </c>
      <c r="AF16" s="9" t="s">
        <v>101</v>
      </c>
      <c r="AG16" s="9" t="s">
        <v>101</v>
      </c>
      <c r="AH16" s="9"/>
      <c r="AI16" s="9"/>
      <c r="AJ16" s="9"/>
      <c r="AK16" s="9"/>
      <c r="AL16" s="9"/>
      <c r="AM16" s="9" t="s">
        <v>140</v>
      </c>
      <c r="AN16" s="9" t="s">
        <v>139</v>
      </c>
      <c r="AO16" s="9" t="s">
        <v>250</v>
      </c>
      <c r="AP16" s="9" t="s">
        <v>140</v>
      </c>
      <c r="AQ16" s="9" t="s">
        <v>139</v>
      </c>
      <c r="AR16" s="9" t="s">
        <v>250</v>
      </c>
      <c r="AS16" s="17" t="s">
        <v>49</v>
      </c>
      <c r="AT16" s="9" t="s">
        <v>72</v>
      </c>
      <c r="AU16" s="9" t="s">
        <v>50</v>
      </c>
      <c r="AV16" s="9" t="s">
        <v>51</v>
      </c>
      <c r="AW16" s="17" t="s">
        <v>49</v>
      </c>
      <c r="AX16" s="9" t="s">
        <v>72</v>
      </c>
      <c r="AY16" s="9" t="s">
        <v>50</v>
      </c>
      <c r="AZ16" s="9" t="s">
        <v>51</v>
      </c>
      <c r="BA16" s="9" t="s">
        <v>49</v>
      </c>
      <c r="BB16" s="9" t="s">
        <v>72</v>
      </c>
      <c r="BC16" s="9" t="s">
        <v>50</v>
      </c>
      <c r="BD16" s="9" t="s">
        <v>51</v>
      </c>
      <c r="BE16" s="9" t="s">
        <v>49</v>
      </c>
      <c r="BF16" s="9" t="s">
        <v>72</v>
      </c>
      <c r="BG16" s="9" t="s">
        <v>50</v>
      </c>
      <c r="BH16" s="9" t="s">
        <v>51</v>
      </c>
    </row>
    <row r="17" spans="1:60" x14ac:dyDescent="0.2">
      <c r="A17" t="s">
        <v>77</v>
      </c>
      <c r="B17">
        <v>2040</v>
      </c>
      <c r="C17">
        <v>16</v>
      </c>
      <c r="D17" s="6">
        <f>Parameters!$B$4</f>
        <v>27012.440000000002</v>
      </c>
      <c r="E17">
        <f>Parameters!$B$5</f>
        <v>20778.68</v>
      </c>
      <c r="F17" s="5">
        <f>Parameters!$B$8</f>
        <v>1.01088</v>
      </c>
      <c r="G17" s="6">
        <f>D17*POWER(F17,C17)</f>
        <v>32118.664788541773</v>
      </c>
      <c r="H17" s="12">
        <f>E17*POWER(F17,C17)</f>
        <v>24706.522538074205</v>
      </c>
      <c r="I17" s="8">
        <f>Parameters!B3*Parameters!B40</f>
        <v>320687.09999999998</v>
      </c>
      <c r="J17" s="8">
        <f>I17*Parameters!$B$10</f>
        <v>134688.58199999999</v>
      </c>
      <c r="K17" s="8">
        <f>I17*Parameters!$B$9</f>
        <v>185998.51799999998</v>
      </c>
      <c r="L17" s="8">
        <f>J17*G17</f>
        <v>4326017416.1020212</v>
      </c>
      <c r="M17" s="8">
        <f>K17*H17</f>
        <v>4595376577.0153999</v>
      </c>
      <c r="N17" s="14">
        <f>M17+L17</f>
        <v>8921393993.1174202</v>
      </c>
      <c r="O17" s="8">
        <f>Parameters!B40</f>
        <v>1287900</v>
      </c>
      <c r="P17" s="8">
        <f>O17*Parameters!$B$10</f>
        <v>540918</v>
      </c>
      <c r="Q17" s="8">
        <f>O17*Parameters!$B$9</f>
        <v>746982</v>
      </c>
      <c r="R17" s="8">
        <f>P17*G17</f>
        <v>17373563920.08844</v>
      </c>
      <c r="S17" s="8">
        <f>Q17*H17</f>
        <v>18455327618.535748</v>
      </c>
      <c r="T17" s="14">
        <f>S17+R17</f>
        <v>35828891538.624191</v>
      </c>
      <c r="U17" s="8">
        <f>T17-SUM(N23:N27)</f>
        <v>33395784085.955803</v>
      </c>
      <c r="AA17" s="6">
        <f>SUM(AA18:AA27)</f>
        <v>33395784085.955803</v>
      </c>
      <c r="AB17" s="3">
        <f>Parameters!C40*Parameters!B2</f>
        <v>3054491</v>
      </c>
      <c r="AC17" s="3">
        <f>AB17+I17</f>
        <v>3375178.1</v>
      </c>
      <c r="AD17" s="6">
        <f>SUM(AD18:AD27)</f>
        <v>231144320131.69318</v>
      </c>
      <c r="AE17" s="6">
        <f>N17</f>
        <v>8921393993.1174202</v>
      </c>
      <c r="AF17" s="6">
        <f>AD17+AE17-X17</f>
        <v>240065714124.81061</v>
      </c>
      <c r="AG17" s="6">
        <f>AD17+AE17-AA17</f>
        <v>206669930038.8548</v>
      </c>
      <c r="AH17" s="6"/>
      <c r="AI17" s="6"/>
      <c r="AJ17" s="6"/>
      <c r="AK17" s="6"/>
      <c r="AL17" s="6"/>
      <c r="AS17" s="18">
        <f>SUM(AN18:AN27)</f>
        <v>161.75945705575509</v>
      </c>
      <c r="AT17" t="s">
        <v>143</v>
      </c>
      <c r="AU17">
        <f>SUM(AT18:AT27)</f>
        <v>18.965070516307588</v>
      </c>
      <c r="AV17" s="16">
        <f>MIN(AM19:AM27)</f>
        <v>3.5248376220530351</v>
      </c>
      <c r="AW17" s="16">
        <f>SUM(AO18:AO27)</f>
        <v>46.252599859351662</v>
      </c>
      <c r="AX17" s="16" t="s">
        <v>143</v>
      </c>
      <c r="AY17" s="16">
        <f>SUM(AX18:AX27)</f>
        <v>21.484383508527671</v>
      </c>
      <c r="AZ17" s="16">
        <f>MIN(AO19:AO27)</f>
        <v>4.1465153740538048</v>
      </c>
      <c r="BA17" s="23">
        <f>SUM(AQ18:AQ27)</f>
        <v>157.70465912041763</v>
      </c>
      <c r="BB17" t="s">
        <v>143</v>
      </c>
      <c r="BC17" s="23">
        <f>SUM(BB18:BB27)</f>
        <v>18.972192745633439</v>
      </c>
      <c r="BD17" s="23">
        <f>MIN(AP19:AP27)</f>
        <v>3.5309841245681373</v>
      </c>
      <c r="BE17" s="23">
        <f>SUM(AR18:AR27)</f>
        <v>46.39681477097237</v>
      </c>
      <c r="BF17" t="s">
        <v>143</v>
      </c>
      <c r="BG17">
        <f>SUM(BF17:BF27)</f>
        <v>21.519555070943607</v>
      </c>
      <c r="BH17" s="23">
        <f>MIN(AR19:AR27)</f>
        <v>4.1787775536923224</v>
      </c>
    </row>
    <row r="18" spans="1:60" x14ac:dyDescent="0.2">
      <c r="A18">
        <v>1</v>
      </c>
      <c r="D18" s="6"/>
      <c r="F18" s="5"/>
      <c r="G18" s="6"/>
      <c r="H18" s="12"/>
      <c r="I18" s="8"/>
      <c r="J18" s="8"/>
      <c r="K18" s="8"/>
      <c r="L18" s="8"/>
      <c r="M18" s="8"/>
      <c r="N18" s="14">
        <f>$N$17*Parameters!E15</f>
        <v>1622071635.1122582</v>
      </c>
      <c r="O18" s="8"/>
      <c r="P18" s="8"/>
      <c r="Q18" s="8"/>
      <c r="R18" s="8"/>
      <c r="S18" s="8"/>
      <c r="T18" s="8"/>
      <c r="U18" s="8"/>
      <c r="V18" s="16" cm="1">
        <f t="array" ref="V18:V27">Parameters!C15:C24</f>
        <v>3.6096393698449797E-3</v>
      </c>
      <c r="W18" s="16">
        <f>(V18*$U$17)/(Parameters!B15*POWER(Parameters!$B$8, $C$17))</f>
        <v>0.12702946848326963</v>
      </c>
      <c r="X18" s="12">
        <f>$U$17*V18</f>
        <v>120546737.0235085</v>
      </c>
      <c r="Y18" s="8">
        <f>Parameters!D15</f>
        <v>0</v>
      </c>
      <c r="Z18" s="8">
        <f>(Y18*$U$17)/(Parameters!B15*POWER(Parameters!$B$8, $C$17))</f>
        <v>0</v>
      </c>
      <c r="AA18" s="6">
        <f>$U$17*Y18</f>
        <v>0</v>
      </c>
      <c r="AB18" s="3"/>
      <c r="AC18" s="3"/>
      <c r="AD18" s="6">
        <f>Parameters!B15*POWER(Parameters!$B$8, $C$17)</f>
        <v>948966711.91995943</v>
      </c>
      <c r="AE18" s="6">
        <f>$AE$3*Parameters!E15</f>
        <v>1009026392.9853771</v>
      </c>
      <c r="AF18" s="6">
        <f>AD18+AE18-X18</f>
        <v>1837446367.8818278</v>
      </c>
      <c r="AG18" s="6">
        <f t="shared" ref="AG18:AG27" si="18">AD18+AE18-AA18</f>
        <v>1957993104.9053364</v>
      </c>
      <c r="AH18" s="8">
        <f>($AB$17+$I$17)/10</f>
        <v>337517.81</v>
      </c>
      <c r="AI18" s="6">
        <f>AF18/AH18</f>
        <v>5443.9982526605863</v>
      </c>
      <c r="AJ18" s="6"/>
      <c r="AK18" s="6">
        <f>AG18/AH18</f>
        <v>5801.1549224775317</v>
      </c>
      <c r="AL18" s="6"/>
      <c r="AM18" s="19">
        <f t="shared" ref="AM18:AM27" si="19">(POWER(AI18, -0.26) - 1)/-0.26</f>
        <v>3.4352994124658975</v>
      </c>
      <c r="AN18" s="19">
        <f>(AM18-$AM$18)*100</f>
        <v>0</v>
      </c>
      <c r="AO18" s="19">
        <f>LOG(AI18)</f>
        <v>3.7359179771374715</v>
      </c>
      <c r="AP18" s="23">
        <f>(POWER(AK18, -0.26) - 1)/-0.26</f>
        <v>3.4420314759599751</v>
      </c>
      <c r="AQ18" s="23">
        <f>(AP18-$AP$18)*100</f>
        <v>0</v>
      </c>
      <c r="AR18" s="23">
        <f>LOG(AK18)</f>
        <v>3.7635144636538942</v>
      </c>
      <c r="AT18" cm="1">
        <f t="array" ref="AT18:AT27">SQRT(AM18:AM27)</f>
        <v>1.8534560724403202</v>
      </c>
      <c r="AX18">
        <f>SQRT(AO18)</f>
        <v>1.9328522905637335</v>
      </c>
      <c r="BB18" cm="1">
        <f t="array" ref="BB18:BB27">SQRT(AP18:AP27)</f>
        <v>1.8552712674862335</v>
      </c>
      <c r="BF18">
        <f>SQRT(AR18)</f>
        <v>1.9399779544247131</v>
      </c>
    </row>
    <row r="19" spans="1:60" x14ac:dyDescent="0.2">
      <c r="A19">
        <v>2</v>
      </c>
      <c r="D19" s="6"/>
      <c r="F19" s="5"/>
      <c r="G19" s="6"/>
      <c r="H19" s="12"/>
      <c r="I19" s="8"/>
      <c r="J19" s="8"/>
      <c r="K19" s="8"/>
      <c r="L19" s="8"/>
      <c r="M19" s="8"/>
      <c r="N19" s="14">
        <f>$N$17*Parameters!E16</f>
        <v>1459864471.6010325</v>
      </c>
      <c r="O19" s="8"/>
      <c r="P19" s="8"/>
      <c r="Q19" s="8"/>
      <c r="R19" s="8"/>
      <c r="S19" s="8"/>
      <c r="T19" s="8"/>
      <c r="U19" s="8"/>
      <c r="V19" s="8">
        <v>1.4401036406566694E-2</v>
      </c>
      <c r="W19" s="16">
        <f>(V19*$U$17)/(Parameters!B16*POWER(Parameters!$B$8, $C$17))</f>
        <v>0.11178593226527728</v>
      </c>
      <c r="X19" s="12">
        <f t="shared" ref="X19:X27" si="20">$U$17*V19</f>
        <v>480933902.44769013</v>
      </c>
      <c r="Y19" s="8">
        <f>Parameters!D16</f>
        <v>3.4800777499171295E-3</v>
      </c>
      <c r="Z19" s="8">
        <f>(Y19*$U$17)/(Parameters!B16*POWER(Parameters!$B$8, $C$17))</f>
        <v>2.7013592955903144E-2</v>
      </c>
      <c r="AA19" s="6">
        <f t="shared" ref="AA19:AA27" si="21">$U$17*Y19</f>
        <v>116219925.13857135</v>
      </c>
      <c r="AB19" s="3"/>
      <c r="AC19" s="3"/>
      <c r="AD19" s="6">
        <f>Parameters!B16*POWER(Parameters!$B$8, $C$17)</f>
        <v>4302275722.0147715</v>
      </c>
      <c r="AE19" s="6">
        <f>$AE$3*Parameters!E16</f>
        <v>908123753.68683934</v>
      </c>
      <c r="AF19" s="6">
        <f t="shared" ref="AF19:AF27" si="22">AD19+AE19-X19</f>
        <v>4729465573.2539206</v>
      </c>
      <c r="AG19" s="6">
        <f t="shared" si="18"/>
        <v>5094179550.5630388</v>
      </c>
      <c r="AH19" s="8">
        <f t="shared" ref="AH19:AH27" si="23">($AB$17+$I$17)/10</f>
        <v>337517.81</v>
      </c>
      <c r="AI19" s="6">
        <f t="shared" ref="AI19:AI27" si="24">AF19/AH19</f>
        <v>14012.491883773246</v>
      </c>
      <c r="AJ19" s="6"/>
      <c r="AK19" s="6">
        <f t="shared" ref="AK19:AK27" si="25">AG19/AH19</f>
        <v>15093.068868167398</v>
      </c>
      <c r="AL19" s="6"/>
      <c r="AM19" s="19">
        <f t="shared" si="19"/>
        <v>3.5248376220530351</v>
      </c>
      <c r="AN19" s="19">
        <f t="shared" ref="AN19:AN27" si="26">(AM19-$AM$18)*100</f>
        <v>8.9538209587137541</v>
      </c>
      <c r="AO19" s="19">
        <f t="shared" ref="AO19:AO27" si="27">LOG(AI19)</f>
        <v>4.1465153740538048</v>
      </c>
      <c r="AP19" s="23">
        <f t="shared" ref="AP19:AP27" si="28">(POWER(AK19, -0.26) - 1)/-0.26</f>
        <v>3.5309841245681373</v>
      </c>
      <c r="AQ19" s="23">
        <f t="shared" ref="AQ19:AQ27" si="29">(AP19-$AP$18)*100</f>
        <v>8.895264860816221</v>
      </c>
      <c r="AR19" s="23">
        <f t="shared" ref="AR19:AR27" si="30">LOG(AK19)</f>
        <v>4.1787775536923224</v>
      </c>
      <c r="AT19">
        <v>1.8774550918871629</v>
      </c>
      <c r="AX19">
        <f t="shared" ref="AX19:AX27" si="31">SQRT(AO19)</f>
        <v>2.0362994313346463</v>
      </c>
      <c r="BB19">
        <v>1.8790913028823633</v>
      </c>
      <c r="BF19">
        <f t="shared" ref="BF19:BF27" si="32">SQRT(AR19)</f>
        <v>2.0442058491483488</v>
      </c>
    </row>
    <row r="20" spans="1:60" x14ac:dyDescent="0.2">
      <c r="A20">
        <v>3</v>
      </c>
      <c r="D20" s="6"/>
      <c r="F20" s="5"/>
      <c r="G20" s="6"/>
      <c r="H20" s="12"/>
      <c r="I20" s="8"/>
      <c r="J20" s="8"/>
      <c r="K20" s="8"/>
      <c r="L20" s="8"/>
      <c r="M20" s="8"/>
      <c r="N20" s="14">
        <f>$N$17*Parameters!E17</f>
        <v>1297657308.0898066</v>
      </c>
      <c r="O20" s="8"/>
      <c r="P20" s="8"/>
      <c r="Q20" s="8"/>
      <c r="R20" s="8"/>
      <c r="S20" s="8"/>
      <c r="T20" s="8"/>
      <c r="U20" s="8"/>
      <c r="V20" s="8">
        <v>3.1399077404942015E-2</v>
      </c>
      <c r="W20" s="16">
        <f>(V20*$U$17)/(Parameters!B17*POWER(Parameters!$B$8, $C$17))</f>
        <v>0.11686711100460805</v>
      </c>
      <c r="X20" s="12">
        <f t="shared" si="20"/>
        <v>1048596809.513657</v>
      </c>
      <c r="Y20" s="8">
        <f>Parameters!D17</f>
        <v>1.0886748490444263E-2</v>
      </c>
      <c r="Z20" s="8">
        <f>(Y20*$U$17)/(Parameters!B17*POWER(Parameters!$B$8, $C$17))</f>
        <v>4.052038943385472E-2</v>
      </c>
      <c r="AA20" s="6">
        <f t="shared" si="21"/>
        <v>363571501.98498189</v>
      </c>
      <c r="AB20" s="3"/>
      <c r="AC20" s="3"/>
      <c r="AD20" s="6">
        <f>Parameters!B17*POWER(Parameters!$B$8, $C$17)</f>
        <v>8972556953.789257</v>
      </c>
      <c r="AE20" s="6">
        <f>$AE$3*Parameters!E17</f>
        <v>807221114.38830161</v>
      </c>
      <c r="AF20" s="6">
        <f t="shared" si="22"/>
        <v>8731181258.6639023</v>
      </c>
      <c r="AG20" s="6">
        <f t="shared" si="18"/>
        <v>9416206566.1925774</v>
      </c>
      <c r="AH20" s="8">
        <f t="shared" si="23"/>
        <v>337517.81</v>
      </c>
      <c r="AI20" s="6">
        <f t="shared" si="24"/>
        <v>25868.801586096753</v>
      </c>
      <c r="AJ20" s="6"/>
      <c r="AK20" s="6">
        <f t="shared" si="25"/>
        <v>27898.399098384103</v>
      </c>
      <c r="AL20" s="6"/>
      <c r="AM20" s="19">
        <f t="shared" si="19"/>
        <v>3.5721827095323864</v>
      </c>
      <c r="AN20" s="19">
        <f t="shared" si="26"/>
        <v>13.688329706648883</v>
      </c>
      <c r="AO20" s="19">
        <f t="shared" si="27"/>
        <v>4.4127763097911199</v>
      </c>
      <c r="AP20" s="23">
        <f t="shared" si="28"/>
        <v>3.5775105307897896</v>
      </c>
      <c r="AQ20" s="23">
        <f t="shared" si="29"/>
        <v>13.547905482981459</v>
      </c>
      <c r="AR20" s="23">
        <f t="shared" si="30"/>
        <v>4.4455792827472287</v>
      </c>
      <c r="AT20">
        <v>1.8900218807020162</v>
      </c>
      <c r="AX20">
        <f t="shared" si="31"/>
        <v>2.1006609221364405</v>
      </c>
      <c r="BB20">
        <v>1.8914308157555724</v>
      </c>
      <c r="BF20">
        <f t="shared" si="32"/>
        <v>2.108454240135941</v>
      </c>
    </row>
    <row r="21" spans="1:60" x14ac:dyDescent="0.2">
      <c r="A21">
        <v>4</v>
      </c>
      <c r="D21" s="6"/>
      <c r="F21" s="5"/>
      <c r="G21" s="6"/>
      <c r="H21" s="6"/>
      <c r="I21" s="8"/>
      <c r="J21" s="8"/>
      <c r="K21" s="8"/>
      <c r="L21" s="8"/>
      <c r="M21" s="8"/>
      <c r="N21" s="14">
        <f>$N$17*Parameters!E18</f>
        <v>1135450144.5785806</v>
      </c>
      <c r="O21" s="8"/>
      <c r="P21" s="8"/>
      <c r="Q21" s="8"/>
      <c r="R21" s="8"/>
      <c r="S21" s="8"/>
      <c r="T21" s="8"/>
      <c r="U21" s="8"/>
      <c r="V21" s="8">
        <v>5.1692242898110294E-2</v>
      </c>
      <c r="W21" s="16">
        <f>(V21*$U$17)/(Parameters!B18*POWER(Parameters!$B$8, $C$17))</f>
        <v>0.12194828974393884</v>
      </c>
      <c r="X21" s="12">
        <f t="shared" si="20"/>
        <v>1726302982.7440736</v>
      </c>
      <c r="Y21" s="8">
        <f>Parameters!D18</f>
        <v>2.2901398806974758E-2</v>
      </c>
      <c r="Z21" s="8">
        <f>(Y21*$U$17)/(Parameters!B18*POWER(Parameters!$B$8, $C$17))</f>
        <v>5.4027185911806282E-2</v>
      </c>
      <c r="AA21" s="6">
        <f t="shared" si="21"/>
        <v>764810169.82409477</v>
      </c>
      <c r="AB21" s="3"/>
      <c r="AC21" s="3"/>
      <c r="AD21" s="6">
        <f>Parameters!B18*POWER(Parameters!$B$8, $C$17)</f>
        <v>14156024544.246431</v>
      </c>
      <c r="AE21" s="6">
        <f>$AE$3*Parameters!E18</f>
        <v>706318475.08976388</v>
      </c>
      <c r="AF21" s="6">
        <f t="shared" si="22"/>
        <v>13136040036.592121</v>
      </c>
      <c r="AG21" s="6">
        <f t="shared" si="18"/>
        <v>14097532849.5121</v>
      </c>
      <c r="AH21" s="8">
        <f t="shared" si="23"/>
        <v>337517.81</v>
      </c>
      <c r="AI21" s="6">
        <f t="shared" si="24"/>
        <v>38919.546309547695</v>
      </c>
      <c r="AJ21" s="6"/>
      <c r="AK21" s="6">
        <f t="shared" si="25"/>
        <v>41768.263575519464</v>
      </c>
      <c r="AL21" s="6"/>
      <c r="AM21" s="19">
        <f t="shared" si="19"/>
        <v>3.5997865642532205</v>
      </c>
      <c r="AN21" s="19">
        <f t="shared" si="26"/>
        <v>16.4487151787323</v>
      </c>
      <c r="AO21" s="19">
        <f t="shared" si="27"/>
        <v>4.5901677689958937</v>
      </c>
      <c r="AP21" s="23">
        <f t="shared" si="28"/>
        <v>3.6042701576239735</v>
      </c>
      <c r="AQ21" s="23">
        <f t="shared" si="29"/>
        <v>16.223868166399846</v>
      </c>
      <c r="AR21" s="23">
        <f t="shared" si="30"/>
        <v>4.6208464207943205</v>
      </c>
      <c r="AT21">
        <v>1.897310350009513</v>
      </c>
      <c r="AX21">
        <f t="shared" si="31"/>
        <v>2.1424676821356941</v>
      </c>
      <c r="BB21">
        <v>1.8984915479464146</v>
      </c>
      <c r="BF21">
        <f t="shared" si="32"/>
        <v>2.1496154122992142</v>
      </c>
    </row>
    <row r="22" spans="1:60" x14ac:dyDescent="0.2">
      <c r="A22">
        <v>5</v>
      </c>
      <c r="D22" s="6"/>
      <c r="E22" s="5"/>
      <c r="F22" s="6"/>
      <c r="G22" s="6"/>
      <c r="H22" s="12"/>
      <c r="I22" s="8"/>
      <c r="J22" s="8"/>
      <c r="K22" s="6"/>
      <c r="L22" s="6"/>
      <c r="M22" s="6"/>
      <c r="N22" s="14">
        <f>$N$17*Parameters!E19</f>
        <v>973242981.06735492</v>
      </c>
      <c r="O22" s="6"/>
      <c r="P22" s="6"/>
      <c r="Q22" s="6"/>
      <c r="R22" s="6"/>
      <c r="S22" s="6"/>
      <c r="T22" s="6"/>
      <c r="U22" s="6"/>
      <c r="V22" s="8">
        <v>7.0583126136746943E-2</v>
      </c>
      <c r="W22" s="16">
        <f>(V22*$U$17)/(Parameters!B19*POWER(Parameters!$B$8, $C$17))</f>
        <v>0.12702946848326965</v>
      </c>
      <c r="X22" s="12">
        <f t="shared" si="20"/>
        <v>2357178840.5745845</v>
      </c>
      <c r="Y22" s="8">
        <f>Parameters!D19</f>
        <v>3.7524833052111288E-2</v>
      </c>
      <c r="Z22" s="8">
        <f>(Y22*$U$17)/(Parameters!B19*POWER(Parameters!$B$8, $C$17))</f>
        <v>6.7533982389757871E-2</v>
      </c>
      <c r="AA22" s="6">
        <f t="shared" si="21"/>
        <v>1253171222.4698465</v>
      </c>
      <c r="AB22" s="3"/>
      <c r="AC22" s="3"/>
      <c r="AD22" s="6">
        <f>Parameters!B19*POWER(Parameters!$B$8, $C$17)</f>
        <v>18556157627.984058</v>
      </c>
      <c r="AE22" s="6">
        <f>$AE$3*Parameters!E19</f>
        <v>605415835.79122615</v>
      </c>
      <c r="AF22" s="6">
        <f t="shared" si="22"/>
        <v>16804394623.200699</v>
      </c>
      <c r="AG22" s="6">
        <f t="shared" si="18"/>
        <v>17908402241.305439</v>
      </c>
      <c r="AH22" s="8">
        <f t="shared" si="23"/>
        <v>337517.81</v>
      </c>
      <c r="AI22" s="6">
        <f t="shared" si="24"/>
        <v>49788.171543305223</v>
      </c>
      <c r="AJ22" s="6"/>
      <c r="AK22" s="6">
        <f t="shared" si="25"/>
        <v>53059.132616751216</v>
      </c>
      <c r="AL22" s="6"/>
      <c r="AM22" s="19">
        <f t="shared" si="19"/>
        <v>3.6150677340110988</v>
      </c>
      <c r="AN22" s="19">
        <f t="shared" si="26"/>
        <v>17.976832154520128</v>
      </c>
      <c r="AO22" s="19">
        <f t="shared" si="27"/>
        <v>4.6971261772247646</v>
      </c>
      <c r="AP22" s="23">
        <f t="shared" si="28"/>
        <v>3.6188593005607821</v>
      </c>
      <c r="AQ22" s="23">
        <f t="shared" si="29"/>
        <v>17.682782460080702</v>
      </c>
      <c r="AR22" s="23">
        <f t="shared" si="30"/>
        <v>4.7247601460828417</v>
      </c>
      <c r="AT22">
        <v>1.9013331465082859</v>
      </c>
      <c r="AX22">
        <f t="shared" si="31"/>
        <v>2.1672854397205654</v>
      </c>
      <c r="BB22">
        <v>1.9023299662678874</v>
      </c>
      <c r="BF22">
        <f t="shared" si="32"/>
        <v>2.1736513395857306</v>
      </c>
    </row>
    <row r="23" spans="1:60" x14ac:dyDescent="0.2">
      <c r="A23">
        <v>6</v>
      </c>
      <c r="N23" s="14">
        <f>$N$17*Parameters!E20</f>
        <v>811035817.5561291</v>
      </c>
      <c r="O23" s="8"/>
      <c r="P23" s="8"/>
      <c r="Q23" s="8"/>
      <c r="R23" s="8"/>
      <c r="S23" s="8"/>
      <c r="T23" s="8"/>
      <c r="U23" s="8"/>
      <c r="V23" s="8">
        <v>9.0905110853151228E-2</v>
      </c>
      <c r="W23" s="16">
        <f>(V23*$U$17)/(Parameters!B20*POWER(Parameters!$B$8, $C$17))</f>
        <v>0.13719182596193122</v>
      </c>
      <c r="X23" s="12">
        <f t="shared" si="20"/>
        <v>3035847454.3617158</v>
      </c>
      <c r="Y23" s="8">
        <f>Parameters!D20</f>
        <v>5.3698687476024153E-2</v>
      </c>
      <c r="Z23" s="8">
        <f>(Y23*$U$17)/(Parameters!B20*POWER(Parameters!$B$8, $C$17))</f>
        <v>8.104077886770944E-2</v>
      </c>
      <c r="AA23" s="6">
        <f t="shared" si="21"/>
        <v>1793309772.6485217</v>
      </c>
      <c r="AB23" s="3"/>
      <c r="AC23" s="3"/>
      <c r="AD23" s="6">
        <f>Parameters!B20*POWER(Parameters!$B$8, $C$17)</f>
        <v>22128486395.422131</v>
      </c>
      <c r="AE23" s="6"/>
      <c r="AF23" s="6">
        <f t="shared" si="22"/>
        <v>19092638941.060413</v>
      </c>
      <c r="AG23" s="6">
        <f t="shared" si="18"/>
        <v>20335176622.773609</v>
      </c>
      <c r="AH23" s="8">
        <f t="shared" si="23"/>
        <v>337517.81</v>
      </c>
      <c r="AI23" s="6">
        <f t="shared" si="24"/>
        <v>56567.796943990637</v>
      </c>
      <c r="AJ23" s="6"/>
      <c r="AK23" s="6">
        <f t="shared" si="25"/>
        <v>60249.195806211261</v>
      </c>
      <c r="AL23" s="6"/>
      <c r="AM23" s="19">
        <f t="shared" si="19"/>
        <v>3.6226120979227372</v>
      </c>
      <c r="AN23" s="19">
        <f t="shared" si="26"/>
        <v>18.731268545683967</v>
      </c>
      <c r="AO23" s="19">
        <f t="shared" si="27"/>
        <v>4.7525692652933715</v>
      </c>
      <c r="AP23" s="23">
        <f t="shared" si="28"/>
        <v>3.6262467084272108</v>
      </c>
      <c r="AQ23" s="23">
        <f t="shared" si="29"/>
        <v>18.42152324672357</v>
      </c>
      <c r="AR23" s="23">
        <f t="shared" si="30"/>
        <v>4.7799512544127865</v>
      </c>
      <c r="AT23">
        <v>1.9033160793527535</v>
      </c>
      <c r="AX23">
        <f t="shared" si="31"/>
        <v>2.1800388219693181</v>
      </c>
      <c r="BB23">
        <v>1.9042706499936428</v>
      </c>
      <c r="BF23">
        <f t="shared" si="32"/>
        <v>2.1863099630228069</v>
      </c>
    </row>
    <row r="24" spans="1:60" x14ac:dyDescent="0.2">
      <c r="A24">
        <v>7</v>
      </c>
      <c r="N24" s="14">
        <f>$N$17*Parameters!E21</f>
        <v>648828654.04490328</v>
      </c>
      <c r="V24" s="8">
        <v>0.11035602414482847</v>
      </c>
      <c r="W24" s="16">
        <f>(V24*$U$17)/(Parameters!B21*POWER(Parameters!$B$8, $C$17))</f>
        <v>0.14227300470126203</v>
      </c>
      <c r="X24" s="12">
        <f t="shared" si="20"/>
        <v>3685425954.9252167</v>
      </c>
      <c r="Y24" s="8">
        <f>Parameters!D21</f>
        <v>8.3813868210341438E-2</v>
      </c>
      <c r="Z24" s="8">
        <f>(Y24*$U$17)/(Parameters!B21*POWER(Parameters!$B$8, $C$17))</f>
        <v>0.10805437182361258</v>
      </c>
      <c r="AA24" s="6">
        <f t="shared" si="21"/>
        <v>2799029846.1613173</v>
      </c>
      <c r="AD24" s="6">
        <f>Parameters!B21*POWER(Parameters!$B$8, $C$17)</f>
        <v>25903901886.824532</v>
      </c>
      <c r="AE24" s="6"/>
      <c r="AF24" s="6">
        <f t="shared" si="22"/>
        <v>22218475931.899315</v>
      </c>
      <c r="AG24" s="6">
        <f t="shared" si="18"/>
        <v>23104872040.663216</v>
      </c>
      <c r="AH24" s="8">
        <f t="shared" si="23"/>
        <v>337517.81</v>
      </c>
      <c r="AI24" s="6">
        <f t="shared" si="24"/>
        <v>65829.047456486267</v>
      </c>
      <c r="AJ24" s="6"/>
      <c r="AK24" s="6">
        <f t="shared" si="25"/>
        <v>68455.267710652712</v>
      </c>
      <c r="AL24" s="6"/>
      <c r="AM24" s="19">
        <f t="shared" si="19"/>
        <v>3.6312530207338485</v>
      </c>
      <c r="AN24" s="19">
        <f t="shared" si="26"/>
        <v>19.595360826795094</v>
      </c>
      <c r="AO24" s="19">
        <f t="shared" si="27"/>
        <v>4.8184175709148835</v>
      </c>
      <c r="AP24" s="23">
        <f t="shared" si="28"/>
        <v>3.6334277035704523</v>
      </c>
      <c r="AQ24" s="23">
        <f t="shared" si="29"/>
        <v>19.139622761047725</v>
      </c>
      <c r="AR24" s="23">
        <f t="shared" si="30"/>
        <v>4.8354068732098838</v>
      </c>
      <c r="AT24">
        <v>1.905584692616376</v>
      </c>
      <c r="AX24">
        <f t="shared" si="31"/>
        <v>2.1950894220771242</v>
      </c>
      <c r="BB24">
        <v>1.9061552149734429</v>
      </c>
      <c r="BF24">
        <f t="shared" si="32"/>
        <v>2.1989558597684229</v>
      </c>
    </row>
    <row r="25" spans="1:60" x14ac:dyDescent="0.2">
      <c r="A25">
        <v>8</v>
      </c>
      <c r="N25" s="14">
        <f>$N$17*Parameters!E22</f>
        <v>486621490.53367746</v>
      </c>
      <c r="V25" s="8">
        <v>0.13623161609900061</v>
      </c>
      <c r="W25" s="16">
        <f>(V25*$U$17)/(Parameters!B22*POWER(Parameters!$B$8, $C$17))</f>
        <v>0.14735418344059276</v>
      </c>
      <c r="X25" s="12">
        <f t="shared" si="20"/>
        <v>4549561636.9230452</v>
      </c>
      <c r="Y25" s="8">
        <f>Parameters!D22</f>
        <v>0.13736006243615159</v>
      </c>
      <c r="Z25" s="8">
        <f>(Y25*$U$17)/(Parameters!B22*POWER(Parameters!$B$8, $C$17))</f>
        <v>0.14857476125746732</v>
      </c>
      <c r="AA25" s="6">
        <f t="shared" si="21"/>
        <v>4587246987.1511269</v>
      </c>
      <c r="AD25" s="6">
        <f>Parameters!B22*POWER(Parameters!$B$8, $C$17)</f>
        <v>30875008301.052029</v>
      </c>
      <c r="AE25" s="6"/>
      <c r="AF25" s="6">
        <f t="shared" si="22"/>
        <v>26325446664.128983</v>
      </c>
      <c r="AG25" s="6">
        <f t="shared" si="18"/>
        <v>26287761313.900902</v>
      </c>
      <c r="AH25" s="8">
        <f t="shared" si="23"/>
        <v>337517.81</v>
      </c>
      <c r="AI25" s="6">
        <f t="shared" si="24"/>
        <v>77997.20750774302</v>
      </c>
      <c r="AJ25" s="6"/>
      <c r="AK25" s="6">
        <f t="shared" si="25"/>
        <v>77885.553102815233</v>
      </c>
      <c r="AL25" s="6"/>
      <c r="AM25" s="19">
        <f t="shared" si="19"/>
        <v>3.6405240249254422</v>
      </c>
      <c r="AN25" s="19">
        <f t="shared" si="26"/>
        <v>20.522461245954471</v>
      </c>
      <c r="AO25" s="19">
        <f t="shared" si="27"/>
        <v>4.8920790541560226</v>
      </c>
      <c r="AP25" s="23">
        <f t="shared" si="28"/>
        <v>3.640447421503521</v>
      </c>
      <c r="AQ25" s="23">
        <f t="shared" si="29"/>
        <v>19.841594554354593</v>
      </c>
      <c r="AR25" s="23">
        <f t="shared" si="30"/>
        <v>4.8914569083838657</v>
      </c>
      <c r="AT25">
        <v>1.9080157297374261</v>
      </c>
      <c r="AX25">
        <f t="shared" si="31"/>
        <v>2.2118044791879825</v>
      </c>
      <c r="BB25">
        <v>1.9079956555253266</v>
      </c>
      <c r="BF25">
        <f t="shared" si="32"/>
        <v>2.2116638325893621</v>
      </c>
    </row>
    <row r="26" spans="1:60" x14ac:dyDescent="0.2">
      <c r="A26">
        <v>9</v>
      </c>
      <c r="N26" s="14">
        <f>$N$17*Parameters!E23</f>
        <v>324414327.02245164</v>
      </c>
      <c r="V26" s="8">
        <v>0.17539672338276532</v>
      </c>
      <c r="W26" s="16">
        <f>(V26*$U$17)/(Parameters!B23*POWER(Parameters!$B$8, $C$17))</f>
        <v>0.15243536217992357</v>
      </c>
      <c r="X26" s="12">
        <f t="shared" si="20"/>
        <v>5857511103.474946</v>
      </c>
      <c r="Y26" s="8">
        <f>Parameters!D23</f>
        <v>0.21757858127224192</v>
      </c>
      <c r="Z26" s="8">
        <f>(Y26*$U$17)/(Parameters!B23*POWER(Parameters!$B$8, $C$17))</f>
        <v>0.18909515069132202</v>
      </c>
      <c r="AA26" s="6">
        <f t="shared" si="21"/>
        <v>7266207321.8963776</v>
      </c>
      <c r="AD26" s="6">
        <f>Parameters!B23*POWER(Parameters!$B$8, $C$17)</f>
        <v>38426195993.559341</v>
      </c>
      <c r="AE26" s="6"/>
      <c r="AF26" s="6">
        <f t="shared" si="22"/>
        <v>32568684890.084396</v>
      </c>
      <c r="AG26" s="6">
        <f t="shared" si="18"/>
        <v>31159988671.662964</v>
      </c>
      <c r="AH26" s="8">
        <f t="shared" si="23"/>
        <v>337517.81</v>
      </c>
      <c r="AI26" s="6">
        <f t="shared" si="24"/>
        <v>96494.715019881158</v>
      </c>
      <c r="AJ26" s="6"/>
      <c r="AK26" s="6">
        <f t="shared" si="25"/>
        <v>92321.020546035666</v>
      </c>
      <c r="AL26" s="6"/>
      <c r="AM26" s="19">
        <f t="shared" si="19"/>
        <v>3.6515928707870011</v>
      </c>
      <c r="AN26" s="19">
        <f t="shared" si="26"/>
        <v>21.62934583211036</v>
      </c>
      <c r="AO26" s="19">
        <f t="shared" si="27"/>
        <v>4.9845035278458019</v>
      </c>
      <c r="AP26" s="23">
        <f t="shared" si="28"/>
        <v>3.6493432409185513</v>
      </c>
      <c r="AQ26" s="23">
        <f t="shared" si="29"/>
        <v>20.731176495857628</v>
      </c>
      <c r="AR26" s="23">
        <f t="shared" si="30"/>
        <v>4.9653005966680475</v>
      </c>
      <c r="AT26">
        <v>1.9109141453207679</v>
      </c>
      <c r="AX26">
        <f t="shared" si="31"/>
        <v>2.2326001719622353</v>
      </c>
      <c r="BB26">
        <v>1.9103254280144395</v>
      </c>
      <c r="BF26">
        <f t="shared" si="32"/>
        <v>2.2282954464496059</v>
      </c>
    </row>
    <row r="27" spans="1:60" x14ac:dyDescent="0.2">
      <c r="A27">
        <v>10</v>
      </c>
      <c r="N27" s="14">
        <f>$N$17*Parameters!E24</f>
        <v>162207163.51122582</v>
      </c>
      <c r="V27" s="8">
        <v>0.31542540330404345</v>
      </c>
      <c r="W27" s="16">
        <f>(V27*$U$17)/(Parameters!B24*POWER(Parameters!$B$8, $C$17))</f>
        <v>0.15751654091925438</v>
      </c>
      <c r="X27" s="12">
        <f t="shared" si="20"/>
        <v>10533878663.967365</v>
      </c>
      <c r="Y27" s="8">
        <f>Parameters!D24</f>
        <v>0.43275574250579357</v>
      </c>
      <c r="Z27" s="8">
        <f>(Y27*$U$17)/(Parameters!B24*POWER(Parameters!$B$8, $C$17))</f>
        <v>0.21610874364722515</v>
      </c>
      <c r="AA27" s="6">
        <f t="shared" si="21"/>
        <v>14452217338.680967</v>
      </c>
      <c r="AD27" s="6">
        <f>Parameters!B24*POWER(Parameters!$B$8, $C$17)</f>
        <v>66874745994.880684</v>
      </c>
      <c r="AE27" s="6"/>
      <c r="AF27" s="6">
        <f t="shared" si="22"/>
        <v>56340867330.913315</v>
      </c>
      <c r="AG27" s="6">
        <f t="shared" si="18"/>
        <v>52422528656.199715</v>
      </c>
      <c r="AH27" s="8">
        <f t="shared" si="23"/>
        <v>337517.81</v>
      </c>
      <c r="AI27" s="6">
        <f t="shared" si="24"/>
        <v>166927.09439810988</v>
      </c>
      <c r="AJ27" s="6"/>
      <c r="AK27" s="6">
        <f t="shared" si="25"/>
        <v>155317.81465457991</v>
      </c>
      <c r="AL27" s="6"/>
      <c r="AM27" s="19">
        <f t="shared" si="19"/>
        <v>3.677432638531859</v>
      </c>
      <c r="AN27" s="19">
        <f t="shared" si="26"/>
        <v>24.213322606596144</v>
      </c>
      <c r="AO27" s="19">
        <f t="shared" si="27"/>
        <v>5.2225268339385336</v>
      </c>
      <c r="AP27" s="23">
        <f t="shared" si="28"/>
        <v>3.674240686881534</v>
      </c>
      <c r="AQ27" s="23">
        <f t="shared" si="29"/>
        <v>23.220921092155898</v>
      </c>
      <c r="AR27" s="23">
        <f t="shared" si="30"/>
        <v>5.191221271327179</v>
      </c>
      <c r="AT27">
        <v>1.9176633277329624</v>
      </c>
      <c r="AX27">
        <f t="shared" si="31"/>
        <v>2.2852848474399279</v>
      </c>
      <c r="BB27">
        <v>1.9168308967881162</v>
      </c>
      <c r="BF27">
        <f t="shared" si="32"/>
        <v>2.2784251735194596</v>
      </c>
    </row>
    <row r="29" spans="1:60" x14ac:dyDescent="0.2">
      <c r="A29" s="2" t="s">
        <v>90</v>
      </c>
      <c r="B29" s="51" t="s">
        <v>39</v>
      </c>
      <c r="C29" s="51"/>
      <c r="D29" s="51" t="s">
        <v>47</v>
      </c>
      <c r="E29" s="51"/>
      <c r="F29" s="51"/>
      <c r="G29" s="51"/>
      <c r="H29" s="52"/>
      <c r="I29" s="51"/>
      <c r="J29" s="51"/>
      <c r="K29" s="51"/>
      <c r="L29" s="51"/>
      <c r="M29" s="51"/>
      <c r="N29" s="51"/>
      <c r="O29" s="15"/>
      <c r="P29" s="15"/>
      <c r="Q29" s="15"/>
      <c r="R29" s="15"/>
      <c r="S29" s="15"/>
      <c r="T29" s="15"/>
      <c r="U29" s="15"/>
      <c r="V29" s="51" t="s">
        <v>135</v>
      </c>
      <c r="W29" s="51"/>
      <c r="X29" s="51"/>
      <c r="Y29" s="51" t="s">
        <v>136</v>
      </c>
      <c r="Z29" s="51"/>
      <c r="AA29" s="51"/>
      <c r="AB29" s="51" t="s">
        <v>91</v>
      </c>
      <c r="AC29" s="51"/>
      <c r="AD29" s="51" t="s">
        <v>48</v>
      </c>
      <c r="AE29" s="51"/>
      <c r="AF29" s="2" t="s">
        <v>137</v>
      </c>
      <c r="AG29" s="15" t="s">
        <v>87</v>
      </c>
      <c r="AH29" s="2" t="s">
        <v>92</v>
      </c>
      <c r="AI29" s="2" t="s">
        <v>138</v>
      </c>
      <c r="AJ29" s="2"/>
      <c r="AK29" s="15" t="s">
        <v>93</v>
      </c>
      <c r="AL29" s="15"/>
      <c r="AM29" s="51" t="s">
        <v>209</v>
      </c>
      <c r="AN29" s="51"/>
      <c r="AO29" s="51"/>
      <c r="AP29" s="51" t="s">
        <v>210</v>
      </c>
      <c r="AQ29" s="51"/>
      <c r="AR29" s="51"/>
      <c r="AS29" s="51" t="s">
        <v>141</v>
      </c>
      <c r="AT29" s="51"/>
      <c r="AU29" s="51"/>
      <c r="AV29" s="51"/>
      <c r="AW29" s="51" t="s">
        <v>142</v>
      </c>
      <c r="AX29" s="51"/>
      <c r="AY29" s="51"/>
      <c r="AZ29" s="51"/>
      <c r="BA29" s="51" t="s">
        <v>144</v>
      </c>
      <c r="BB29" s="51"/>
      <c r="BC29" s="51"/>
      <c r="BD29" s="51"/>
      <c r="BE29" s="51" t="s">
        <v>145</v>
      </c>
      <c r="BF29" s="51"/>
      <c r="BG29" s="51"/>
      <c r="BH29" s="51"/>
    </row>
    <row r="30" spans="1:60" x14ac:dyDescent="0.2">
      <c r="A30" s="9"/>
      <c r="B30" s="9" t="s">
        <v>39</v>
      </c>
      <c r="C30" s="9" t="s">
        <v>52</v>
      </c>
      <c r="D30" s="9" t="s">
        <v>53</v>
      </c>
      <c r="E30" s="9" t="s">
        <v>54</v>
      </c>
      <c r="F30" s="9" t="s">
        <v>55</v>
      </c>
      <c r="G30" s="9" t="s">
        <v>56</v>
      </c>
      <c r="H30" s="11" t="s">
        <v>57</v>
      </c>
      <c r="I30" s="9" t="s">
        <v>94</v>
      </c>
      <c r="J30" s="9" t="s">
        <v>59</v>
      </c>
      <c r="K30" s="9" t="s">
        <v>60</v>
      </c>
      <c r="L30" s="9" t="s">
        <v>61</v>
      </c>
      <c r="M30" s="9" t="s">
        <v>62</v>
      </c>
      <c r="N30" s="11" t="s">
        <v>95</v>
      </c>
      <c r="O30" s="9" t="s">
        <v>58</v>
      </c>
      <c r="P30" s="9" t="s">
        <v>59</v>
      </c>
      <c r="Q30" s="9" t="s">
        <v>60</v>
      </c>
      <c r="R30" s="9" t="s">
        <v>61</v>
      </c>
      <c r="S30" s="9" t="s">
        <v>62</v>
      </c>
      <c r="T30" s="11" t="s">
        <v>63</v>
      </c>
      <c r="U30" s="9" t="s">
        <v>96</v>
      </c>
      <c r="V30" s="9" t="s">
        <v>64</v>
      </c>
      <c r="W30" s="9" t="s">
        <v>97</v>
      </c>
      <c r="X30" s="11" t="s">
        <v>66</v>
      </c>
      <c r="Y30" s="9" t="s">
        <v>64</v>
      </c>
      <c r="Z30" s="9" t="s">
        <v>97</v>
      </c>
      <c r="AA30" s="9" t="s">
        <v>66</v>
      </c>
      <c r="AB30" s="9" t="s">
        <v>98</v>
      </c>
      <c r="AC30" s="9" t="s">
        <v>99</v>
      </c>
      <c r="AD30" s="9" t="s">
        <v>100</v>
      </c>
      <c r="AE30" s="9" t="s">
        <v>68</v>
      </c>
      <c r="AF30" s="9" t="s">
        <v>101</v>
      </c>
      <c r="AG30" s="9" t="s">
        <v>101</v>
      </c>
      <c r="AH30" s="9"/>
      <c r="AI30" s="9"/>
      <c r="AJ30" s="9"/>
      <c r="AK30" s="9"/>
      <c r="AL30" s="9"/>
      <c r="AM30" s="9" t="s">
        <v>140</v>
      </c>
      <c r="AN30" s="9" t="s">
        <v>139</v>
      </c>
      <c r="AO30" s="9" t="s">
        <v>250</v>
      </c>
      <c r="AP30" s="9" t="s">
        <v>140</v>
      </c>
      <c r="AQ30" s="9" t="s">
        <v>139</v>
      </c>
      <c r="AR30" s="9" t="s">
        <v>250</v>
      </c>
      <c r="AS30" s="17" t="s">
        <v>49</v>
      </c>
      <c r="AT30" s="9" t="s">
        <v>72</v>
      </c>
      <c r="AU30" s="9" t="s">
        <v>50</v>
      </c>
      <c r="AV30" s="9" t="s">
        <v>51</v>
      </c>
      <c r="AW30" s="17" t="s">
        <v>49</v>
      </c>
      <c r="AX30" s="9" t="s">
        <v>72</v>
      </c>
      <c r="AY30" s="9" t="s">
        <v>50</v>
      </c>
      <c r="AZ30" s="9" t="s">
        <v>51</v>
      </c>
      <c r="BA30" s="9" t="s">
        <v>49</v>
      </c>
      <c r="BB30" s="9" t="s">
        <v>72</v>
      </c>
      <c r="BC30" s="9" t="s">
        <v>50</v>
      </c>
      <c r="BD30" s="9" t="s">
        <v>51</v>
      </c>
      <c r="BE30" s="9" t="s">
        <v>49</v>
      </c>
      <c r="BF30" s="9" t="s">
        <v>72</v>
      </c>
      <c r="BG30" s="9" t="s">
        <v>50</v>
      </c>
      <c r="BH30" s="9" t="s">
        <v>51</v>
      </c>
    </row>
    <row r="31" spans="1:60" x14ac:dyDescent="0.2">
      <c r="A31" t="s">
        <v>77</v>
      </c>
      <c r="B31">
        <v>2078</v>
      </c>
      <c r="C31">
        <v>54</v>
      </c>
      <c r="D31" s="6">
        <f>Parameters!$B$4</f>
        <v>27012.440000000002</v>
      </c>
      <c r="E31">
        <f>Parameters!$B$5</f>
        <v>20778.68</v>
      </c>
      <c r="F31" s="5">
        <f>Parameters!$B$8</f>
        <v>1.01088</v>
      </c>
      <c r="G31" s="6">
        <f>D31*POWER(F31,C31)</f>
        <v>48455.429049392646</v>
      </c>
      <c r="H31" s="12">
        <f>E31*POWER(F31,C31)</f>
        <v>37273.19170278708</v>
      </c>
      <c r="I31" s="8">
        <f>Parameters!$B$3*Parameters!B42</f>
        <v>557660.4</v>
      </c>
      <c r="J31" s="8">
        <f>I31*Parameters!$B$10</f>
        <v>234217.36799999999</v>
      </c>
      <c r="K31" s="8">
        <f>I31*Parameters!$B$9</f>
        <v>323443.03200000001</v>
      </c>
      <c r="L31" s="8">
        <f>J31*G31</f>
        <v>11349103057.259487</v>
      </c>
      <c r="M31" s="8">
        <f>K31*H31</f>
        <v>12055754136.666697</v>
      </c>
      <c r="N31" s="14">
        <f>M31+L31</f>
        <v>23404857193.926186</v>
      </c>
      <c r="O31" s="8">
        <f>Parameters!B42</f>
        <v>2239600</v>
      </c>
      <c r="P31" s="8">
        <f>O31*Parameters!$B$10</f>
        <v>940632</v>
      </c>
      <c r="Q31" s="8">
        <f>O31*Parameters!$B$9</f>
        <v>1298968</v>
      </c>
      <c r="R31" s="8">
        <f>P31*G31</f>
        <v>45578727137.588303</v>
      </c>
      <c r="S31" s="8">
        <f>Q31*H31</f>
        <v>48416683279.785927</v>
      </c>
      <c r="T31" s="14">
        <f>S31+R31</f>
        <v>93995410417.374237</v>
      </c>
      <c r="U31" s="8">
        <f>T31-SUM(N37:N41)</f>
        <v>87612267546.303467</v>
      </c>
      <c r="AA31" s="6">
        <f>SUM(AA32:AA41)</f>
        <v>87612267546.303467</v>
      </c>
      <c r="AB31" s="3">
        <f>Parameters!C42*Parameters!B2</f>
        <v>3564796.4</v>
      </c>
      <c r="AC31" s="3">
        <f>AB31+I31</f>
        <v>4122456.8</v>
      </c>
      <c r="AD31" s="6">
        <f>SUM(AD32:AD41)</f>
        <v>348713038915.21021</v>
      </c>
      <c r="AE31" s="6">
        <f>N31</f>
        <v>23404857193.926186</v>
      </c>
      <c r="AF31" s="6">
        <f>AD31+AE31-X31</f>
        <v>372117896109.13641</v>
      </c>
      <c r="AG31" s="6">
        <f>AD31+AE31-AA31</f>
        <v>284505628562.83295</v>
      </c>
      <c r="AH31" s="6"/>
      <c r="AI31" s="6"/>
      <c r="AJ31" s="6"/>
      <c r="AK31" s="6"/>
      <c r="AL31" s="6"/>
      <c r="AS31" s="18">
        <f>SUM(AN32:AN41)</f>
        <v>179.87872177400254</v>
      </c>
      <c r="AT31" t="s">
        <v>143</v>
      </c>
      <c r="AU31">
        <f>SUM(AT32:AT41)</f>
        <v>19.013252378138024</v>
      </c>
      <c r="AV31" s="8">
        <f>MIN(AM33:AM41)</f>
        <v>3.5603096067965989</v>
      </c>
      <c r="AW31" s="16">
        <f>SUM(AO32:AO41)</f>
        <v>47.278659534062399</v>
      </c>
      <c r="AX31" s="16" t="s">
        <v>50</v>
      </c>
      <c r="AY31" s="16">
        <f>SUM(AX32:AX41)</f>
        <v>21.731569120051947</v>
      </c>
      <c r="AZ31" s="16">
        <f>MIN(AO33:AO41)</f>
        <v>4.3419123375521069</v>
      </c>
      <c r="BA31" s="23">
        <f>SUM(AQ32:AQ41)</f>
        <v>176.44567255649554</v>
      </c>
      <c r="BB31" t="s">
        <v>143</v>
      </c>
      <c r="BC31" s="23">
        <f>SUM(BB32:BB41)</f>
        <v>19.021974514277051</v>
      </c>
      <c r="BD31" s="23">
        <f>MIN(AP33:AP41)</f>
        <v>3.5676753667357564</v>
      </c>
      <c r="BE31" s="23">
        <f>SUM(AR32:AR41)</f>
        <v>47.478880585616331</v>
      </c>
      <c r="BF31" t="s">
        <v>143</v>
      </c>
      <c r="BG31">
        <f>SUM(BF31:BF41)</f>
        <v>21.7793348858828</v>
      </c>
      <c r="BH31" s="23">
        <f>MIN(AR33:AR41)</f>
        <v>4.3855192812838011</v>
      </c>
    </row>
    <row r="32" spans="1:60" x14ac:dyDescent="0.2">
      <c r="A32">
        <v>1</v>
      </c>
      <c r="D32" s="6"/>
      <c r="F32" s="5"/>
      <c r="G32" s="6"/>
      <c r="H32" s="12"/>
      <c r="I32" s="8"/>
      <c r="J32" s="8"/>
      <c r="K32" s="8"/>
      <c r="L32" s="8"/>
      <c r="M32" s="8"/>
      <c r="N32" s="14">
        <f>$N$31*Parameters!E15</f>
        <v>4255428580.7138519</v>
      </c>
      <c r="O32" s="8"/>
      <c r="P32" s="8"/>
      <c r="Q32" s="8"/>
      <c r="R32" s="8"/>
      <c r="S32" s="8"/>
      <c r="T32" s="8"/>
      <c r="U32" s="8"/>
      <c r="V32" s="16">
        <f>Parameters!C15</f>
        <v>3.6096393698449797E-3</v>
      </c>
      <c r="W32" s="16">
        <f>(V32*$U$31)/(Parameters!B15*POWER(Parameters!$B$8,$C$31))</f>
        <v>0.2208985151138525</v>
      </c>
      <c r="X32" s="12">
        <f>$U$31*V32</f>
        <v>316248690.21652859</v>
      </c>
      <c r="Y32" s="8">
        <f>Parameters!D15</f>
        <v>0</v>
      </c>
      <c r="Z32" s="8">
        <f>(Y32*$U$31)/(Parameters!B15*POWER(Parameters!$B$8,$C$31))</f>
        <v>0</v>
      </c>
      <c r="AA32" s="6">
        <f>$U$31*Y32</f>
        <v>0</v>
      </c>
      <c r="AB32" s="3"/>
      <c r="AC32" s="3"/>
      <c r="AD32" s="6">
        <f>Parameters!B15*POWER(Parameters!$B$8,$C$31)</f>
        <v>1431646971.7034178</v>
      </c>
      <c r="AE32" s="6">
        <f>$AE$31*Parameters!E15</f>
        <v>4255428580.7138519</v>
      </c>
      <c r="AF32" s="6">
        <f>AD32+AE32-X32</f>
        <v>5370826862.2007408</v>
      </c>
      <c r="AG32" s="6">
        <f t="shared" ref="AG32:AG41" si="33">AD32+AE32-AA32</f>
        <v>5687075552.4172697</v>
      </c>
      <c r="AH32" s="8">
        <f>($AB$31+$I$31)/10</f>
        <v>412245.68</v>
      </c>
      <c r="AI32" s="6">
        <f>AF32/AH32</f>
        <v>13028.218663687976</v>
      </c>
      <c r="AJ32" s="6"/>
      <c r="AK32" s="6">
        <f>AG32/AH32</f>
        <v>13795.355120318713</v>
      </c>
      <c r="AL32" s="6"/>
      <c r="AM32" s="19">
        <f t="shared" ref="AM32:AM41" si="34">(POWER(AI32, -0.26) - 1)/-0.26</f>
        <v>3.5186951397373609</v>
      </c>
      <c r="AN32" s="19">
        <f>(AM32-$AM$18)*100</f>
        <v>8.3395727271463382</v>
      </c>
      <c r="AO32" s="19">
        <f>LOG(AI32)</f>
        <v>4.1148850390881178</v>
      </c>
      <c r="AP32" s="23">
        <f>(POWER(AK32, -0.26) - 1)/-0.26</f>
        <v>3.5235302691305184</v>
      </c>
      <c r="AQ32" s="23">
        <f>(AP32-$AP$18)*100</f>
        <v>8.1498793170543316</v>
      </c>
      <c r="AR32" s="23">
        <f>LOG(AK32)</f>
        <v>4.1397328845766941</v>
      </c>
      <c r="AT32" cm="1">
        <f t="array" ref="AT32:AT41">SQRT(AM32:AM41)</f>
        <v>1.8758185252676658</v>
      </c>
      <c r="AX32">
        <f>SQRT(AO32)</f>
        <v>2.028517941524826</v>
      </c>
      <c r="BB32" cm="1">
        <f t="array" ref="BB32:BB41">SQRT(AP32:AP41)</f>
        <v>1.8771068880408803</v>
      </c>
      <c r="BF32">
        <f>SQRT(AR32)</f>
        <v>2.0346333538445434</v>
      </c>
    </row>
    <row r="33" spans="1:58" x14ac:dyDescent="0.2">
      <c r="A33">
        <v>2</v>
      </c>
      <c r="D33" s="6"/>
      <c r="F33" s="5"/>
      <c r="G33" s="6"/>
      <c r="H33" s="12"/>
      <c r="I33" s="8"/>
      <c r="J33" s="8"/>
      <c r="K33" s="8"/>
      <c r="L33" s="8"/>
      <c r="M33" s="8"/>
      <c r="N33" s="14">
        <f>$N$31*Parameters!E16</f>
        <v>3829885722.6424665</v>
      </c>
      <c r="O33" s="8"/>
      <c r="P33" s="8"/>
      <c r="Q33" s="8"/>
      <c r="R33" s="8"/>
      <c r="S33" s="8"/>
      <c r="T33" s="8"/>
      <c r="U33" s="8"/>
      <c r="V33" s="16">
        <f>Parameters!C16</f>
        <v>1.4401036406566694E-2</v>
      </c>
      <c r="W33" s="16">
        <f>(V33*$U$31)/(Parameters!B16*POWER(Parameters!$B$8,$C$31))</f>
        <v>0.19439069330019021</v>
      </c>
      <c r="X33" s="12">
        <f t="shared" ref="X33:X41" si="35">$U$31*V33</f>
        <v>1261707454.5961778</v>
      </c>
      <c r="Y33" s="8">
        <f>Parameters!D16</f>
        <v>3.4800777499171295E-3</v>
      </c>
      <c r="Z33" s="8">
        <f>(Y33*$U$31)/(Parameters!B16*POWER(Parameters!$B$8,$C$31))</f>
        <v>4.6975419507757341E-2</v>
      </c>
      <c r="AA33" s="6">
        <f t="shared" ref="AA33:AA41" si="36">$U$31*Y33</f>
        <v>304897502.90767729</v>
      </c>
      <c r="AB33" s="3"/>
      <c r="AC33" s="3"/>
      <c r="AD33" s="6">
        <f>Parameters!B16*POWER(Parameters!$B$8,$C$31)</f>
        <v>6490575413.7507534</v>
      </c>
      <c r="AE33" s="6">
        <f>$AE$31*Parameters!E16</f>
        <v>3829885722.6424665</v>
      </c>
      <c r="AF33" s="6">
        <f t="shared" ref="AF33:AF41" si="37">AD33+AE33-X33</f>
        <v>9058753681.7970409</v>
      </c>
      <c r="AG33" s="6">
        <f t="shared" si="33"/>
        <v>10015563633.485542</v>
      </c>
      <c r="AH33" s="8">
        <f t="shared" ref="AH33:AH41" si="38">($AB$31+$I$31)/10</f>
        <v>412245.68</v>
      </c>
      <c r="AI33" s="6">
        <f t="shared" ref="AI33:AI41" si="39">AF33/AH33</f>
        <v>21974.162790006776</v>
      </c>
      <c r="AJ33" s="6"/>
      <c r="AK33" s="6">
        <f t="shared" ref="AK33:AK41" si="40">AG33/AH33</f>
        <v>24295.133022341295</v>
      </c>
      <c r="AL33" s="6"/>
      <c r="AM33" s="19">
        <f t="shared" si="34"/>
        <v>3.5603096067965989</v>
      </c>
      <c r="AN33" s="19">
        <f t="shared" ref="AN33:AN41" si="41">(AM33-$AM$18)*100</f>
        <v>12.501019433070137</v>
      </c>
      <c r="AO33" s="19">
        <f t="shared" ref="AO33:AO41" si="42">LOG(AI33)</f>
        <v>4.3419123375521069</v>
      </c>
      <c r="AP33" s="23">
        <f t="shared" ref="AP33:AP41" si="43">(POWER(AK33, -0.26) - 1)/-0.26</f>
        <v>3.5676753667357564</v>
      </c>
      <c r="AQ33" s="23">
        <f t="shared" ref="AQ33:AQ41" si="44">(AP33-$AP$18)*100</f>
        <v>12.564389077578131</v>
      </c>
      <c r="AR33" s="23">
        <f t="shared" ref="AR33:AR41" si="45">LOG(AK33)</f>
        <v>4.3855192812838011</v>
      </c>
      <c r="AT33">
        <v>1.8868782702645657</v>
      </c>
      <c r="AX33">
        <f t="shared" ref="AX33:AX41" si="46">SQRT(AO33)</f>
        <v>2.0837255907513605</v>
      </c>
      <c r="BB33">
        <v>1.8888290993988197</v>
      </c>
      <c r="BF33">
        <f t="shared" ref="BF33:BF41" si="47">SQRT(AR33)</f>
        <v>2.0941631458135732</v>
      </c>
    </row>
    <row r="34" spans="1:58" x14ac:dyDescent="0.2">
      <c r="A34">
        <v>3</v>
      </c>
      <c r="D34" s="6"/>
      <c r="F34" s="5"/>
      <c r="G34" s="6"/>
      <c r="H34" s="12"/>
      <c r="I34" s="8"/>
      <c r="J34" s="8"/>
      <c r="K34" s="8"/>
      <c r="L34" s="8"/>
      <c r="M34" s="8"/>
      <c r="N34" s="14">
        <f>$N$31*Parameters!E17</f>
        <v>3404342864.5710812</v>
      </c>
      <c r="O34" s="8"/>
      <c r="P34" s="8"/>
      <c r="Q34" s="8"/>
      <c r="R34" s="8"/>
      <c r="S34" s="8"/>
      <c r="T34" s="8"/>
      <c r="U34" s="8"/>
      <c r="V34" s="16">
        <f>Parameters!C17</f>
        <v>3.1399077404942015E-2</v>
      </c>
      <c r="W34" s="16">
        <f>(V34*$U$31)/(Parameters!B17*POWER(Parameters!$B$8,$C$31))</f>
        <v>0.2032266339047443</v>
      </c>
      <c r="X34" s="12">
        <f t="shared" si="35"/>
        <v>2750944370.3088717</v>
      </c>
      <c r="Y34" s="8">
        <f>Parameters!D17</f>
        <v>1.0886748490444263E-2</v>
      </c>
      <c r="Z34" s="8">
        <f>(Y34*$U$31)/(Parameters!B17*POWER(Parameters!$B$8,$C$31))</f>
        <v>7.0463129261636004E-2</v>
      </c>
      <c r="AA34" s="6">
        <f t="shared" si="36"/>
        <v>953812721.45411813</v>
      </c>
      <c r="AB34" s="3"/>
      <c r="AC34" s="3"/>
      <c r="AD34" s="6">
        <f>Parameters!B17*POWER(Parameters!$B$8,$C$31)</f>
        <v>13536337818.783562</v>
      </c>
      <c r="AE34" s="6">
        <f>$AE$31*Parameters!E17</f>
        <v>3404342864.5710812</v>
      </c>
      <c r="AF34" s="6">
        <f t="shared" si="37"/>
        <v>14189736313.045771</v>
      </c>
      <c r="AG34" s="6">
        <f t="shared" si="33"/>
        <v>15986867961.900524</v>
      </c>
      <c r="AH34" s="8">
        <f t="shared" si="38"/>
        <v>412245.68</v>
      </c>
      <c r="AI34" s="6">
        <f t="shared" si="39"/>
        <v>34420.582195174902</v>
      </c>
      <c r="AJ34" s="6"/>
      <c r="AK34" s="6">
        <f t="shared" si="40"/>
        <v>38779.952677492038</v>
      </c>
      <c r="AL34" s="6"/>
      <c r="AM34" s="19">
        <f t="shared" si="34"/>
        <v>3.5917908587564056</v>
      </c>
      <c r="AN34" s="19">
        <f t="shared" si="41"/>
        <v>15.649144629050804</v>
      </c>
      <c r="AO34" s="19">
        <f t="shared" si="42"/>
        <v>4.5368182117792673</v>
      </c>
      <c r="AP34" s="23">
        <f t="shared" si="43"/>
        <v>3.5995562943853336</v>
      </c>
      <c r="AQ34" s="23">
        <f t="shared" si="44"/>
        <v>15.752481842535859</v>
      </c>
      <c r="AR34" s="23">
        <f t="shared" si="45"/>
        <v>4.5886072747809381</v>
      </c>
      <c r="AT34">
        <v>1.895202062777583</v>
      </c>
      <c r="AX34">
        <f t="shared" si="46"/>
        <v>2.1299808008006238</v>
      </c>
      <c r="BB34">
        <v>1.8972496658018769</v>
      </c>
      <c r="BF34">
        <f t="shared" si="47"/>
        <v>2.1421034696720271</v>
      </c>
    </row>
    <row r="35" spans="1:58" x14ac:dyDescent="0.2">
      <c r="A35">
        <v>4</v>
      </c>
      <c r="D35" s="6"/>
      <c r="F35" s="5"/>
      <c r="G35" s="6"/>
      <c r="H35" s="6"/>
      <c r="I35" s="8"/>
      <c r="J35" s="8"/>
      <c r="K35" s="8"/>
      <c r="L35" s="8"/>
      <c r="M35" s="8"/>
      <c r="N35" s="14">
        <f>$N$31*Parameters!E18</f>
        <v>2978800006.4996963</v>
      </c>
      <c r="O35" s="8"/>
      <c r="P35" s="8"/>
      <c r="Q35" s="8"/>
      <c r="R35" s="8"/>
      <c r="S35" s="8"/>
      <c r="T35" s="8"/>
      <c r="U35" s="8"/>
      <c r="V35" s="16">
        <f>Parameters!C18</f>
        <v>5.1692242898110294E-2</v>
      </c>
      <c r="W35" s="16">
        <f>(V35*$U$31)/(Parameters!B18*POWER(Parameters!$B$8,$C$31))</f>
        <v>0.21206257450929841</v>
      </c>
      <c r="X35" s="12">
        <f t="shared" si="35"/>
        <v>4528874614.8577442</v>
      </c>
      <c r="Y35" s="8">
        <f>Parameters!D18</f>
        <v>2.2901398806974758E-2</v>
      </c>
      <c r="Z35" s="8">
        <f>(Y35*$U$31)/(Parameters!B18*POWER(Parameters!$B$8,$C$31))</f>
        <v>9.3950839015514681E-2</v>
      </c>
      <c r="AA35" s="6">
        <f t="shared" si="36"/>
        <v>2006443479.4612675</v>
      </c>
      <c r="AB35" s="3"/>
      <c r="AC35" s="3"/>
      <c r="AD35" s="6">
        <f>Parameters!B18*POWER(Parameters!$B$8,$C$31)</f>
        <v>21356312519.252022</v>
      </c>
      <c r="AE35" s="6">
        <f>$AE$31*Parameters!E18</f>
        <v>2978800006.4996963</v>
      </c>
      <c r="AF35" s="6">
        <f t="shared" si="37"/>
        <v>19806237910.893974</v>
      </c>
      <c r="AG35" s="6">
        <f t="shared" si="33"/>
        <v>22328669046.290451</v>
      </c>
      <c r="AH35" s="8">
        <f t="shared" si="38"/>
        <v>412245.68</v>
      </c>
      <c r="AI35" s="6">
        <f t="shared" si="39"/>
        <v>48044.74339402168</v>
      </c>
      <c r="AJ35" s="6"/>
      <c r="AK35" s="6">
        <f t="shared" si="40"/>
        <v>54163.500382321654</v>
      </c>
      <c r="AL35" s="6"/>
      <c r="AM35" s="19">
        <f t="shared" si="34"/>
        <v>3.6129161603354794</v>
      </c>
      <c r="AN35" s="19">
        <f t="shared" si="41"/>
        <v>17.761674786958181</v>
      </c>
      <c r="AO35" s="19">
        <f t="shared" si="42"/>
        <v>4.681645878167874</v>
      </c>
      <c r="AP35" s="23">
        <f t="shared" si="43"/>
        <v>3.6200734508119692</v>
      </c>
      <c r="AQ35" s="23">
        <f t="shared" si="44"/>
        <v>17.804197485199413</v>
      </c>
      <c r="AR35" s="23">
        <f t="shared" si="45"/>
        <v>4.7337067233950254</v>
      </c>
      <c r="AT35">
        <v>1.9007672556984665</v>
      </c>
      <c r="AX35">
        <f t="shared" si="46"/>
        <v>2.163711135564975</v>
      </c>
      <c r="BB35">
        <v>1.9026490613909779</v>
      </c>
      <c r="BF35">
        <f t="shared" si="47"/>
        <v>2.1757083268202622</v>
      </c>
    </row>
    <row r="36" spans="1:58" x14ac:dyDescent="0.2">
      <c r="A36">
        <v>5</v>
      </c>
      <c r="D36" s="6"/>
      <c r="E36" s="5"/>
      <c r="F36" s="6"/>
      <c r="G36" s="6"/>
      <c r="H36" s="12"/>
      <c r="I36" s="8"/>
      <c r="J36" s="8"/>
      <c r="K36" s="6"/>
      <c r="L36" s="6"/>
      <c r="M36" s="6"/>
      <c r="N36" s="14">
        <f>$N$31*Parameters!E19</f>
        <v>2553257148.4283109</v>
      </c>
      <c r="O36" s="6"/>
      <c r="P36" s="6"/>
      <c r="Q36" s="6"/>
      <c r="R36" s="6"/>
      <c r="S36" s="6"/>
      <c r="T36" s="6"/>
      <c r="U36" s="6"/>
      <c r="V36" s="16">
        <f>Parameters!C19</f>
        <v>7.0583126136746943E-2</v>
      </c>
      <c r="W36" s="16">
        <f>(V36*$U$31)/(Parameters!B19*POWER(Parameters!$B$8,$C$31))</f>
        <v>0.22089851511385253</v>
      </c>
      <c r="X36" s="12">
        <f t="shared" si="35"/>
        <v>6183947731.3471584</v>
      </c>
      <c r="Y36" s="8">
        <f>Parameters!D19</f>
        <v>3.7524833052111288E-2</v>
      </c>
      <c r="Z36" s="8">
        <f>(Y36*$U$31)/(Parameters!B19*POWER(Parameters!$B$8,$C$31))</f>
        <v>0.11743854876939333</v>
      </c>
      <c r="AA36" s="6">
        <f t="shared" si="36"/>
        <v>3287635712.9919453</v>
      </c>
      <c r="AB36" s="3"/>
      <c r="AC36" s="3"/>
      <c r="AD36" s="6">
        <f>Parameters!B19*POWER(Parameters!$B$8,$C$31)</f>
        <v>27994519239.569862</v>
      </c>
      <c r="AE36" s="6">
        <f>$AE$31*Parameters!E19</f>
        <v>2553257148.4283109</v>
      </c>
      <c r="AF36" s="6">
        <f t="shared" si="37"/>
        <v>24363828656.651016</v>
      </c>
      <c r="AG36" s="6">
        <f t="shared" si="33"/>
        <v>27260140675.006226</v>
      </c>
      <c r="AH36" s="8">
        <f t="shared" si="38"/>
        <v>412245.68</v>
      </c>
      <c r="AI36" s="6">
        <f t="shared" si="39"/>
        <v>59100.264329394588</v>
      </c>
      <c r="AJ36" s="6"/>
      <c r="AK36" s="6">
        <f t="shared" si="40"/>
        <v>66125.958372701993</v>
      </c>
      <c r="AL36" s="6"/>
      <c r="AM36" s="19">
        <f t="shared" si="34"/>
        <v>3.6251430943128828</v>
      </c>
      <c r="AN36" s="19">
        <f t="shared" si="41"/>
        <v>18.984368184698532</v>
      </c>
      <c r="AO36" s="19">
        <f t="shared" si="42"/>
        <v>4.7715894232931122</v>
      </c>
      <c r="AP36" s="23">
        <f t="shared" si="43"/>
        <v>3.631504318371952</v>
      </c>
      <c r="AQ36" s="23">
        <f t="shared" si="44"/>
        <v>18.947284241197693</v>
      </c>
      <c r="AR36" s="23">
        <f t="shared" si="45"/>
        <v>4.8203719793791198</v>
      </c>
      <c r="AT36">
        <v>1.9039808545027135</v>
      </c>
      <c r="AX36">
        <f t="shared" si="46"/>
        <v>2.1843968099439057</v>
      </c>
      <c r="BB36">
        <v>1.905650628623188</v>
      </c>
      <c r="BF36">
        <f t="shared" si="47"/>
        <v>2.1955345543578035</v>
      </c>
    </row>
    <row r="37" spans="1:58" x14ac:dyDescent="0.2">
      <c r="A37">
        <v>6</v>
      </c>
      <c r="N37" s="14">
        <f>$N$31*Parameters!E20</f>
        <v>2127714290.356926</v>
      </c>
      <c r="O37" s="8"/>
      <c r="P37" s="8"/>
      <c r="Q37" s="8"/>
      <c r="R37" s="8"/>
      <c r="S37" s="8"/>
      <c r="T37" s="8"/>
      <c r="U37" s="8"/>
      <c r="V37" s="16">
        <f>Parameters!C20</f>
        <v>9.0905110853151228E-2</v>
      </c>
      <c r="W37" s="16">
        <f>(V37*$U$31)/(Parameters!B20*POWER(Parameters!$B$8,$C$31))</f>
        <v>0.23857039632296073</v>
      </c>
      <c r="X37" s="12">
        <f t="shared" si="35"/>
        <v>7964402893.3926601</v>
      </c>
      <c r="Y37" s="8">
        <f>Parameters!D20</f>
        <v>5.3698687476024153E-2</v>
      </c>
      <c r="Z37" s="8">
        <f>(Y37*$U$31)/(Parameters!B20*POWER(Parameters!$B$8,$C$31))</f>
        <v>0.14092625852327201</v>
      </c>
      <c r="AA37" s="6">
        <f t="shared" si="36"/>
        <v>4704663774.0347633</v>
      </c>
      <c r="AB37" s="3"/>
      <c r="AC37" s="3"/>
      <c r="AD37" s="6">
        <f>Parameters!B20*POWER(Parameters!$B$8,$C$31)</f>
        <v>33383869147.834175</v>
      </c>
      <c r="AE37" s="6"/>
      <c r="AF37" s="6">
        <f t="shared" si="37"/>
        <v>25419466254.441513</v>
      </c>
      <c r="AG37" s="6">
        <f t="shared" si="33"/>
        <v>28679205373.799412</v>
      </c>
      <c r="AH37" s="8">
        <f t="shared" si="38"/>
        <v>412245.68</v>
      </c>
      <c r="AI37" s="6">
        <f t="shared" si="39"/>
        <v>61660.964535617481</v>
      </c>
      <c r="AJ37" s="6"/>
      <c r="AK37" s="6">
        <f t="shared" si="40"/>
        <v>69568.237498084665</v>
      </c>
      <c r="AL37" s="6"/>
      <c r="AM37" s="19">
        <f t="shared" si="34"/>
        <v>3.6275670269575575</v>
      </c>
      <c r="AN37" s="19">
        <f t="shared" si="41"/>
        <v>19.226761449165998</v>
      </c>
      <c r="AO37" s="19">
        <f t="shared" si="42"/>
        <v>4.7900103139230872</v>
      </c>
      <c r="AP37" s="23">
        <f t="shared" si="43"/>
        <v>3.634317834160433</v>
      </c>
      <c r="AQ37" s="23">
        <f t="shared" si="44"/>
        <v>19.228635820045792</v>
      </c>
      <c r="AR37" s="23">
        <f t="shared" si="45"/>
        <v>4.8424110007048924</v>
      </c>
      <c r="AT37">
        <v>1.9046172914676474</v>
      </c>
      <c r="AX37">
        <f t="shared" si="46"/>
        <v>2.1886092190985322</v>
      </c>
      <c r="BB37">
        <v>1.9063886891608524</v>
      </c>
      <c r="BF37">
        <f t="shared" si="47"/>
        <v>2.2005478864830215</v>
      </c>
    </row>
    <row r="38" spans="1:58" x14ac:dyDescent="0.2">
      <c r="A38">
        <v>7</v>
      </c>
      <c r="N38" s="14">
        <f>$N$31*Parameters!E21</f>
        <v>1702171432.2855406</v>
      </c>
      <c r="V38" s="16">
        <f>Parameters!C21</f>
        <v>0.11035602414482847</v>
      </c>
      <c r="W38" s="16">
        <f>(V38*$U$31)/(Parameters!B21*POWER(Parameters!$B$8,$C$31))</f>
        <v>0.24740633692751487</v>
      </c>
      <c r="X38" s="12">
        <f t="shared" si="35"/>
        <v>9668541512.7230377</v>
      </c>
      <c r="Y38" s="8">
        <f>Parameters!D21</f>
        <v>8.3813868210341438E-2</v>
      </c>
      <c r="Z38" s="8">
        <f>(Y38*$U$31)/(Parameters!B21*POWER(Parameters!$B$8,$C$31))</f>
        <v>0.18790167803102936</v>
      </c>
      <c r="AA38" s="6">
        <f t="shared" si="36"/>
        <v>7343123045.7350531</v>
      </c>
      <c r="AD38" s="6">
        <f>Parameters!B21*POWER(Parameters!$B$8,$C$31)</f>
        <v>39079603347.24865</v>
      </c>
      <c r="AE38" s="6"/>
      <c r="AF38" s="6">
        <f t="shared" si="37"/>
        <v>29411061834.525612</v>
      </c>
      <c r="AG38" s="6">
        <f t="shared" si="33"/>
        <v>31736480301.513596</v>
      </c>
      <c r="AH38" s="8">
        <f t="shared" si="38"/>
        <v>412245.68</v>
      </c>
      <c r="AI38" s="6">
        <f t="shared" si="39"/>
        <v>71343.529505331899</v>
      </c>
      <c r="AJ38" s="6"/>
      <c r="AK38" s="6">
        <f t="shared" si="40"/>
        <v>76984.385382797933</v>
      </c>
      <c r="AL38" s="6"/>
      <c r="AM38" s="19">
        <f t="shared" si="34"/>
        <v>3.6357011672381332</v>
      </c>
      <c r="AN38" s="19">
        <f t="shared" si="41"/>
        <v>20.040175477223563</v>
      </c>
      <c r="AO38" s="19">
        <f t="shared" si="42"/>
        <v>4.8533545909397118</v>
      </c>
      <c r="AP38" s="23">
        <f t="shared" si="43"/>
        <v>3.639824043000325</v>
      </c>
      <c r="AQ38" s="23">
        <f t="shared" si="44"/>
        <v>19.779256704034999</v>
      </c>
      <c r="AR38" s="23">
        <f t="shared" si="45"/>
        <v>4.8864026468638366</v>
      </c>
      <c r="AT38">
        <v>1.9067514697091841</v>
      </c>
      <c r="AX38">
        <f t="shared" si="46"/>
        <v>2.2030330435424048</v>
      </c>
      <c r="BB38">
        <v>1.9078322890129324</v>
      </c>
      <c r="BF38">
        <f t="shared" si="47"/>
        <v>2.2105208994406356</v>
      </c>
    </row>
    <row r="39" spans="1:58" x14ac:dyDescent="0.2">
      <c r="A39">
        <v>8</v>
      </c>
      <c r="N39" s="14">
        <f>$N$31*Parameters!E22</f>
        <v>1276628574.2141554</v>
      </c>
      <c r="V39" s="16">
        <f>Parameters!C22</f>
        <v>0.13623161609900061</v>
      </c>
      <c r="W39" s="16">
        <f>(V39*$U$31)/(Parameters!B22*POWER(Parameters!$B$8,$C$31))</f>
        <v>0.25624227753206885</v>
      </c>
      <c r="X39" s="12">
        <f t="shared" si="35"/>
        <v>11935560797.930944</v>
      </c>
      <c r="Y39" s="8">
        <f>Parameters!D22</f>
        <v>0.13736006243615159</v>
      </c>
      <c r="Z39" s="8">
        <f>(Y39*$U$31)/(Parameters!B22*POWER(Parameters!$B$8,$C$31))</f>
        <v>0.25836480729266537</v>
      </c>
      <c r="AA39" s="6">
        <f t="shared" si="36"/>
        <v>12034426540.333061</v>
      </c>
      <c r="AD39" s="6">
        <f>Parameters!B22*POWER(Parameters!$B$8,$C$31)</f>
        <v>46579201968.095222</v>
      </c>
      <c r="AE39" s="6"/>
      <c r="AF39" s="6">
        <f t="shared" si="37"/>
        <v>34643641170.164276</v>
      </c>
      <c r="AG39" s="6">
        <f t="shared" si="33"/>
        <v>34544775427.762161</v>
      </c>
      <c r="AH39" s="8">
        <f t="shared" si="38"/>
        <v>412245.68</v>
      </c>
      <c r="AI39" s="6">
        <f t="shared" si="39"/>
        <v>84036.395894225687</v>
      </c>
      <c r="AJ39" s="6"/>
      <c r="AK39" s="6">
        <f t="shared" si="40"/>
        <v>83796.573508695496</v>
      </c>
      <c r="AL39" s="6"/>
      <c r="AM39" s="19">
        <f t="shared" si="34"/>
        <v>3.6444727824353182</v>
      </c>
      <c r="AN39" s="19">
        <f t="shared" si="41"/>
        <v>20.917336996942069</v>
      </c>
      <c r="AO39" s="19">
        <f t="shared" si="42"/>
        <v>4.9244674183553556</v>
      </c>
      <c r="AP39" s="23">
        <f t="shared" si="43"/>
        <v>3.6443228683072411</v>
      </c>
      <c r="AQ39" s="23">
        <f t="shared" si="44"/>
        <v>20.229139234726603</v>
      </c>
      <c r="AR39" s="23">
        <f t="shared" si="45"/>
        <v>4.9232262604358832</v>
      </c>
      <c r="AT39">
        <v>1.9090502304641745</v>
      </c>
      <c r="AX39">
        <f t="shared" si="46"/>
        <v>2.2191141066550308</v>
      </c>
      <c r="BB39">
        <v>1.909010965999735</v>
      </c>
      <c r="BF39">
        <f t="shared" si="47"/>
        <v>2.2188344373647806</v>
      </c>
    </row>
    <row r="40" spans="1:58" x14ac:dyDescent="0.2">
      <c r="A40">
        <v>9</v>
      </c>
      <c r="N40" s="14">
        <f>$N$31*Parameters!E23</f>
        <v>851085716.14277029</v>
      </c>
      <c r="V40" s="16">
        <f>Parameters!C23</f>
        <v>0.17539672338276532</v>
      </c>
      <c r="W40" s="16">
        <f>(V40*$U$31)/(Parameters!B23*POWER(Parameters!$B$8,$C$31))</f>
        <v>0.26507821813662302</v>
      </c>
      <c r="X40" s="12">
        <f t="shared" si="35"/>
        <v>15366904655.755817</v>
      </c>
      <c r="Y40" s="8">
        <f>Parameters!D23</f>
        <v>0.21757858127224192</v>
      </c>
      <c r="Z40" s="8">
        <f>(Y40*$U$31)/(Parameters!B23*POWER(Parameters!$B$8,$C$31))</f>
        <v>0.32882793655430137</v>
      </c>
      <c r="AA40" s="6">
        <f t="shared" si="36"/>
        <v>19062552874.768791</v>
      </c>
      <c r="AD40" s="6">
        <f>Parameters!B23*POWER(Parameters!$B$8,$C$31)</f>
        <v>57971208512.634621</v>
      </c>
      <c r="AE40" s="6"/>
      <c r="AF40" s="6">
        <f t="shared" si="37"/>
        <v>42604303856.878799</v>
      </c>
      <c r="AG40" s="6">
        <f t="shared" si="33"/>
        <v>38908655637.865829</v>
      </c>
      <c r="AH40" s="8">
        <f t="shared" si="38"/>
        <v>412245.68</v>
      </c>
      <c r="AI40" s="6">
        <f t="shared" si="39"/>
        <v>103346.87766013412</v>
      </c>
      <c r="AJ40" s="6"/>
      <c r="AK40" s="6">
        <f t="shared" si="40"/>
        <v>94382.203442048994</v>
      </c>
      <c r="AL40" s="6"/>
      <c r="AM40" s="19">
        <f t="shared" si="34"/>
        <v>3.6550324371997176</v>
      </c>
      <c r="AN40" s="19">
        <f t="shared" si="41"/>
        <v>21.973302473382006</v>
      </c>
      <c r="AO40" s="19">
        <f t="shared" si="42"/>
        <v>5.0142973601557763</v>
      </c>
      <c r="AP40" s="23">
        <f t="shared" si="43"/>
        <v>3.6504698886776819</v>
      </c>
      <c r="AQ40" s="23">
        <f t="shared" si="44"/>
        <v>20.843841271770678</v>
      </c>
      <c r="AR40" s="23">
        <f t="shared" si="45"/>
        <v>4.9748901121418383</v>
      </c>
      <c r="AT40">
        <v>1.9118139128062954</v>
      </c>
      <c r="AX40">
        <f t="shared" si="46"/>
        <v>2.2392626822585546</v>
      </c>
      <c r="BB40">
        <v>1.9106202889840989</v>
      </c>
      <c r="BF40">
        <f t="shared" si="47"/>
        <v>2.2304461688509405</v>
      </c>
    </row>
    <row r="41" spans="1:58" x14ac:dyDescent="0.2">
      <c r="A41">
        <v>10</v>
      </c>
      <c r="N41" s="14">
        <f>$N$31*Parameters!E24</f>
        <v>425542858.07138515</v>
      </c>
      <c r="V41" s="16">
        <f>Parameters!C24</f>
        <v>0.31542540330404345</v>
      </c>
      <c r="W41" s="16">
        <f>(V41*$U$31)/(Parameters!B24*POWER(Parameters!$B$8,$C$31))</f>
        <v>0.27391415874117714</v>
      </c>
      <c r="X41" s="12">
        <f t="shared" si="35"/>
        <v>27635134825.17453</v>
      </c>
      <c r="Y41" s="8">
        <f>Parameters!D24</f>
        <v>0.43275574250579357</v>
      </c>
      <c r="Z41" s="8">
        <f>(Y41*$U$31)/(Parameters!B24*POWER(Parameters!$B$8,$C$31))</f>
        <v>0.37580335606205872</v>
      </c>
      <c r="AA41" s="6">
        <f t="shared" si="36"/>
        <v>37914711894.616798</v>
      </c>
      <c r="AD41" s="6">
        <f>Parameters!B24*POWER(Parameters!$B$8,$C$31)</f>
        <v>100889763976.33795</v>
      </c>
      <c r="AE41" s="6"/>
      <c r="AF41" s="6">
        <f t="shared" si="37"/>
        <v>73254629151.163422</v>
      </c>
      <c r="AG41" s="6">
        <f t="shared" si="33"/>
        <v>62975052081.721153</v>
      </c>
      <c r="AH41" s="8">
        <f t="shared" si="38"/>
        <v>412245.68</v>
      </c>
      <c r="AI41" s="6">
        <f t="shared" si="39"/>
        <v>177696.53559781009</v>
      </c>
      <c r="AJ41" s="6"/>
      <c r="AK41" s="6">
        <f t="shared" si="40"/>
        <v>152760.97515860241</v>
      </c>
      <c r="AL41" s="6"/>
      <c r="AM41" s="19">
        <f t="shared" si="34"/>
        <v>3.6801530686295467</v>
      </c>
      <c r="AN41" s="19">
        <f t="shared" si="41"/>
        <v>24.485365616364916</v>
      </c>
      <c r="AO41" s="19">
        <f t="shared" si="42"/>
        <v>5.2496789608079988</v>
      </c>
      <c r="AP41" s="23">
        <f t="shared" si="43"/>
        <v>3.6734971515834953</v>
      </c>
      <c r="AQ41" s="23">
        <f t="shared" si="44"/>
        <v>23.146567562352026</v>
      </c>
      <c r="AR41" s="23">
        <f t="shared" si="45"/>
        <v>5.1840124220543062</v>
      </c>
      <c r="AT41">
        <v>1.9183725051797282</v>
      </c>
      <c r="AX41">
        <f t="shared" si="46"/>
        <v>2.2912177899117312</v>
      </c>
      <c r="BB41">
        <v>1.9166369378636883</v>
      </c>
      <c r="BF41">
        <f t="shared" si="47"/>
        <v>2.276842643235212</v>
      </c>
    </row>
    <row r="44" spans="1:58" x14ac:dyDescent="0.2">
      <c r="A44" s="38" t="s">
        <v>181</v>
      </c>
    </row>
    <row r="45" spans="1:58" x14ac:dyDescent="0.2">
      <c r="A45" t="s">
        <v>147</v>
      </c>
    </row>
  </sheetData>
  <mergeCells count="42">
    <mergeCell ref="BK1:BM1"/>
    <mergeCell ref="B15:C15"/>
    <mergeCell ref="D15:H15"/>
    <mergeCell ref="I15:N15"/>
    <mergeCell ref="V15:X15"/>
    <mergeCell ref="Y15:AA15"/>
    <mergeCell ref="AB15:AC15"/>
    <mergeCell ref="AD1:AE1"/>
    <mergeCell ref="AI1:AJ1"/>
    <mergeCell ref="AK1:AL1"/>
    <mergeCell ref="AP1:AR1"/>
    <mergeCell ref="AS1:AV1"/>
    <mergeCell ref="B1:C1"/>
    <mergeCell ref="D1:H1"/>
    <mergeCell ref="I1:N1"/>
    <mergeCell ref="V1:X1"/>
    <mergeCell ref="AB29:AC29"/>
    <mergeCell ref="AD29:AE29"/>
    <mergeCell ref="AM29:AO29"/>
    <mergeCell ref="Y1:AA1"/>
    <mergeCell ref="AB1:AC1"/>
    <mergeCell ref="AD15:AE15"/>
    <mergeCell ref="AM15:AO15"/>
    <mergeCell ref="AP15:AR15"/>
    <mergeCell ref="B29:C29"/>
    <mergeCell ref="D29:H29"/>
    <mergeCell ref="I29:N29"/>
    <mergeCell ref="V29:X29"/>
    <mergeCell ref="Y29:AA29"/>
    <mergeCell ref="AS29:AV29"/>
    <mergeCell ref="AW29:AZ29"/>
    <mergeCell ref="BA29:BD29"/>
    <mergeCell ref="BE29:BH29"/>
    <mergeCell ref="AM1:AO1"/>
    <mergeCell ref="BE15:BH15"/>
    <mergeCell ref="AS15:AV15"/>
    <mergeCell ref="AW15:AZ15"/>
    <mergeCell ref="BA15:BD15"/>
    <mergeCell ref="AW1:AZ1"/>
    <mergeCell ref="BA1:BD1"/>
    <mergeCell ref="BE1:BH1"/>
    <mergeCell ref="AP29:AR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2C4-61B9-C748-AF29-2287F3607F9B}">
  <dimension ref="A1:BM45"/>
  <sheetViews>
    <sheetView topLeftCell="AX6" workbookViewId="0">
      <selection activeCell="AP29" sqref="AP29:AR29"/>
    </sheetView>
  </sheetViews>
  <sheetFormatPr baseColWidth="10" defaultColWidth="8.83203125" defaultRowHeight="15" x14ac:dyDescent="0.2"/>
  <cols>
    <col min="3" max="3" width="16" customWidth="1"/>
    <col min="4" max="4" width="27.5" bestFit="1" customWidth="1"/>
    <col min="5" max="5" width="26.83203125" customWidth="1"/>
    <col min="6" max="7" width="28.5" customWidth="1"/>
    <col min="8" max="8" width="28.5" style="13" customWidth="1"/>
    <col min="9" max="9" width="35.5" bestFit="1" customWidth="1"/>
    <col min="10" max="13" width="31.5" customWidth="1"/>
    <col min="14" max="14" width="27.83203125" style="13" customWidth="1"/>
    <col min="15" max="22" width="27.83203125" customWidth="1"/>
    <col min="23" max="23" width="28.83203125" customWidth="1"/>
    <col min="24" max="24" width="27.83203125" style="13" customWidth="1"/>
    <col min="25" max="27" width="27.83203125" customWidth="1"/>
    <col min="28" max="28" width="36.5" bestFit="1" customWidth="1"/>
    <col min="29" max="29" width="25.33203125" bestFit="1" customWidth="1"/>
    <col min="30" max="38" width="31.83203125" customWidth="1"/>
    <col min="39" max="39" width="38.6640625" bestFit="1" customWidth="1"/>
    <col min="40" max="44" width="38.6640625" customWidth="1"/>
    <col min="45" max="45" width="11.5" customWidth="1"/>
    <col min="46" max="46" width="14.5" bestFit="1" customWidth="1"/>
    <col min="47" max="47" width="11.1640625" customWidth="1"/>
    <col min="48" max="49" width="12" customWidth="1"/>
    <col min="50" max="50" width="14.5" bestFit="1" customWidth="1"/>
    <col min="51" max="52" width="12" customWidth="1"/>
    <col min="53" max="53" width="16" bestFit="1" customWidth="1"/>
    <col min="54" max="54" width="14.5" bestFit="1" customWidth="1"/>
    <col min="55" max="55" width="16" bestFit="1" customWidth="1"/>
    <col min="56" max="56" width="14.83203125" bestFit="1" customWidth="1"/>
    <col min="57" max="57" width="16" bestFit="1" customWidth="1"/>
    <col min="58" max="58" width="14.5" bestFit="1" customWidth="1"/>
    <col min="59" max="59" width="12.5" bestFit="1" customWidth="1"/>
    <col min="60" max="60" width="14.83203125" bestFit="1" customWidth="1"/>
  </cols>
  <sheetData>
    <row r="1" spans="1:65" s="2" customFormat="1" x14ac:dyDescent="0.2">
      <c r="A1" s="2" t="s">
        <v>90</v>
      </c>
      <c r="B1" s="51" t="s">
        <v>39</v>
      </c>
      <c r="C1" s="51"/>
      <c r="D1" s="51" t="s">
        <v>47</v>
      </c>
      <c r="E1" s="51"/>
      <c r="F1" s="51"/>
      <c r="G1" s="51"/>
      <c r="H1" s="52"/>
      <c r="I1" s="51"/>
      <c r="J1" s="51"/>
      <c r="K1" s="51"/>
      <c r="L1" s="51"/>
      <c r="M1" s="51"/>
      <c r="N1" s="51"/>
      <c r="O1" s="15"/>
      <c r="P1" s="15"/>
      <c r="Q1" s="15"/>
      <c r="R1" s="15"/>
      <c r="S1" s="15"/>
      <c r="T1" s="15"/>
      <c r="U1" s="15"/>
      <c r="V1" s="51" t="s">
        <v>157</v>
      </c>
      <c r="W1" s="51"/>
      <c r="X1" s="51"/>
      <c r="Y1" s="51" t="s">
        <v>159</v>
      </c>
      <c r="Z1" s="51"/>
      <c r="AA1" s="51"/>
      <c r="AB1" s="51" t="s">
        <v>91</v>
      </c>
      <c r="AC1" s="51"/>
      <c r="AD1" s="51" t="s">
        <v>48</v>
      </c>
      <c r="AE1" s="51"/>
      <c r="AF1" s="2" t="s">
        <v>211</v>
      </c>
      <c r="AG1" s="15" t="s">
        <v>204</v>
      </c>
      <c r="AH1" s="2" t="s">
        <v>92</v>
      </c>
      <c r="AI1" s="51" t="s">
        <v>184</v>
      </c>
      <c r="AJ1" s="51"/>
      <c r="AK1" s="51" t="s">
        <v>93</v>
      </c>
      <c r="AL1" s="51"/>
      <c r="AM1" s="51" t="s">
        <v>205</v>
      </c>
      <c r="AN1" s="51"/>
      <c r="AO1" s="51"/>
      <c r="AP1" s="51" t="s">
        <v>213</v>
      </c>
      <c r="AQ1" s="51"/>
      <c r="AR1" s="51"/>
      <c r="AS1" s="51" t="s">
        <v>214</v>
      </c>
      <c r="AT1" s="51"/>
      <c r="AU1" s="51"/>
      <c r="AV1" s="51"/>
      <c r="AW1" s="51" t="s">
        <v>216</v>
      </c>
      <c r="AX1" s="51"/>
      <c r="AY1" s="51"/>
      <c r="AZ1" s="51"/>
      <c r="BA1" s="51" t="s">
        <v>217</v>
      </c>
      <c r="BB1" s="51"/>
      <c r="BC1" s="51"/>
      <c r="BD1" s="51"/>
      <c r="BE1" s="51" t="s">
        <v>218</v>
      </c>
      <c r="BF1" s="51"/>
      <c r="BG1" s="51"/>
      <c r="BH1" s="51"/>
      <c r="BK1" s="51"/>
      <c r="BL1" s="51"/>
      <c r="BM1" s="51"/>
    </row>
    <row r="2" spans="1:65" s="9" customFormat="1" x14ac:dyDescent="0.2">
      <c r="B2" s="9" t="s">
        <v>39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  <c r="H2" s="11" t="s">
        <v>57</v>
      </c>
      <c r="I2" s="9" t="s">
        <v>94</v>
      </c>
      <c r="J2" s="9" t="s">
        <v>59</v>
      </c>
      <c r="K2" s="9" t="s">
        <v>60</v>
      </c>
      <c r="L2" s="9" t="s">
        <v>61</v>
      </c>
      <c r="M2" s="9" t="s">
        <v>62</v>
      </c>
      <c r="N2" s="11" t="s">
        <v>95</v>
      </c>
      <c r="O2" s="9" t="s">
        <v>58</v>
      </c>
      <c r="P2" s="9" t="s">
        <v>59</v>
      </c>
      <c r="Q2" s="9" t="s">
        <v>60</v>
      </c>
      <c r="R2" s="9" t="s">
        <v>61</v>
      </c>
      <c r="S2" s="9" t="s">
        <v>62</v>
      </c>
      <c r="T2" s="11" t="s">
        <v>63</v>
      </c>
      <c r="U2" s="9" t="s">
        <v>96</v>
      </c>
      <c r="V2" s="9" t="s">
        <v>64</v>
      </c>
      <c r="W2" s="9" t="s">
        <v>97</v>
      </c>
      <c r="X2" s="11" t="s">
        <v>66</v>
      </c>
      <c r="Y2" s="9" t="s">
        <v>64</v>
      </c>
      <c r="Z2" s="9" t="s">
        <v>97</v>
      </c>
      <c r="AA2" s="9" t="s">
        <v>66</v>
      </c>
      <c r="AB2" s="9" t="s">
        <v>98</v>
      </c>
      <c r="AC2" s="9" t="s">
        <v>99</v>
      </c>
      <c r="AD2" s="9" t="s">
        <v>100</v>
      </c>
      <c r="AE2" s="9" t="s">
        <v>68</v>
      </c>
      <c r="AF2" s="9" t="s">
        <v>101</v>
      </c>
      <c r="AG2" s="9" t="s">
        <v>101</v>
      </c>
      <c r="AM2" s="9" t="s">
        <v>212</v>
      </c>
      <c r="AN2" s="9" t="s">
        <v>139</v>
      </c>
      <c r="AO2" s="9" t="s">
        <v>250</v>
      </c>
      <c r="AP2" s="9" t="s">
        <v>212</v>
      </c>
      <c r="AQ2" s="9" t="s">
        <v>139</v>
      </c>
      <c r="AR2" s="9" t="s">
        <v>250</v>
      </c>
      <c r="AS2" s="17" t="s">
        <v>49</v>
      </c>
      <c r="AT2" s="9" t="s">
        <v>72</v>
      </c>
      <c r="AU2" s="9" t="s">
        <v>50</v>
      </c>
      <c r="AV2" s="9" t="s">
        <v>51</v>
      </c>
      <c r="AW2" s="17" t="s">
        <v>49</v>
      </c>
      <c r="AX2" s="9" t="s">
        <v>72</v>
      </c>
      <c r="AY2" s="9" t="s">
        <v>50</v>
      </c>
      <c r="AZ2" s="9" t="s">
        <v>51</v>
      </c>
      <c r="BA2" s="9" t="s">
        <v>49</v>
      </c>
      <c r="BB2" s="9" t="s">
        <v>72</v>
      </c>
      <c r="BC2" s="9" t="s">
        <v>50</v>
      </c>
      <c r="BD2" s="9" t="s">
        <v>51</v>
      </c>
      <c r="BE2" s="9" t="s">
        <v>49</v>
      </c>
      <c r="BF2" s="9" t="s">
        <v>72</v>
      </c>
      <c r="BG2" s="9" t="s">
        <v>50</v>
      </c>
      <c r="BH2" s="9" t="s">
        <v>51</v>
      </c>
    </row>
    <row r="3" spans="1:65" x14ac:dyDescent="0.2">
      <c r="A3" t="s">
        <v>77</v>
      </c>
      <c r="B3">
        <v>2026</v>
      </c>
      <c r="C3">
        <v>2</v>
      </c>
      <c r="D3" s="6">
        <f>Parameters!$B$4</f>
        <v>27012.440000000002</v>
      </c>
      <c r="E3">
        <f>Parameters!$B$5</f>
        <v>20778.68</v>
      </c>
      <c r="F3" s="5">
        <f>Parameters!$B$8</f>
        <v>1.01088</v>
      </c>
      <c r="G3" s="6">
        <f>D3*POWER(F3,C3)</f>
        <v>27603.428275777536</v>
      </c>
      <c r="H3" s="12">
        <f>E3*POWER(F3,C3)</f>
        <v>21233.28374057779</v>
      </c>
      <c r="I3" s="8">
        <f>Parameters!B3*Parameters!B39</f>
        <v>232117.8</v>
      </c>
      <c r="J3" s="8">
        <f>I3*Parameters!$B$10</f>
        <v>97489.475999999995</v>
      </c>
      <c r="K3" s="8">
        <f>I3*Parameters!$B$9</f>
        <v>134628.32399999999</v>
      </c>
      <c r="L3" s="8">
        <f>J3*G3</f>
        <v>2691043758.4091353</v>
      </c>
      <c r="M3" s="8">
        <f>K3*H3</f>
        <v>2858601403.0104384</v>
      </c>
      <c r="N3" s="14">
        <f>M3+L3</f>
        <v>5549645161.4195738</v>
      </c>
      <c r="O3" s="8">
        <f>Parameters!B39</f>
        <v>932200</v>
      </c>
      <c r="P3" s="8">
        <f>O3*Parameters!$B$10</f>
        <v>391524</v>
      </c>
      <c r="Q3" s="8">
        <f>O3*Parameters!$B$9</f>
        <v>540676</v>
      </c>
      <c r="R3" s="8">
        <f>P3*G3</f>
        <v>10807404652.245523</v>
      </c>
      <c r="S3" s="8">
        <f>Q3*H3</f>
        <v>11480326919.720636</v>
      </c>
      <c r="T3" s="14">
        <f>S3+R3</f>
        <v>22287731571.96616</v>
      </c>
      <c r="U3" s="8">
        <f>T3-SUM(N8:N13)</f>
        <v>20168776146.696869</v>
      </c>
      <c r="AA3" s="6">
        <f>SUM(AA4:AA13)</f>
        <v>20168776146.696869</v>
      </c>
      <c r="AB3" s="3">
        <f>Parameters!C39*Parameters!B2</f>
        <v>2728423.5</v>
      </c>
      <c r="AC3" s="3">
        <f>AB3+I3</f>
        <v>2960541.3</v>
      </c>
      <c r="AD3" s="6">
        <f>SUM(AD4:AD13)</f>
        <v>198650090348.23676</v>
      </c>
      <c r="AE3" s="6">
        <f>N3</f>
        <v>5549645161.4195738</v>
      </c>
      <c r="AF3" s="6">
        <f>AD3+AE3-X3</f>
        <v>204199735509.65634</v>
      </c>
      <c r="AG3" s="6">
        <f>AD3+AE3-AA3</f>
        <v>184030959362.95947</v>
      </c>
      <c r="AH3" s="8"/>
      <c r="AI3" s="6" t="s">
        <v>102</v>
      </c>
      <c r="AJ3" s="6" t="s">
        <v>70</v>
      </c>
      <c r="AK3" s="6" t="s">
        <v>103</v>
      </c>
      <c r="AL3" s="6" t="s">
        <v>70</v>
      </c>
      <c r="AS3" s="18">
        <f>SUM(AM4:AM13)</f>
        <v>35.993211791019839</v>
      </c>
      <c r="AU3">
        <f>SUM(AT4:AT13)</f>
        <v>18.971084505611827</v>
      </c>
      <c r="AV3" s="16">
        <f>MIN(AM5:AM13)</f>
        <v>3.5281117525516428</v>
      </c>
      <c r="AW3" s="16">
        <f>SUM(AO4:AO13)</f>
        <v>46.388073085142601</v>
      </c>
      <c r="AX3" s="16"/>
      <c r="AY3" s="16">
        <f>SUM(AX4:AX13)</f>
        <v>21.516609600972089</v>
      </c>
      <c r="AZ3" s="16">
        <f>MIN(AO5:AO13)</f>
        <v>4.1636232629522354</v>
      </c>
      <c r="BA3" s="23">
        <f>SUM(AP4:AP13)</f>
        <v>36.011160284552709</v>
      </c>
      <c r="BC3">
        <f>SUM(BB4:BB13)</f>
        <v>18.975855545519032</v>
      </c>
      <c r="BD3" s="23">
        <f>MIN(AP5:AP13)</f>
        <v>3.5322019177992066</v>
      </c>
      <c r="BE3" s="23">
        <f>SUM(AR4:AR13)</f>
        <v>46.486185692425842</v>
      </c>
      <c r="BG3">
        <f>SUM(BF3:BF13)</f>
        <v>21.54047056419115</v>
      </c>
      <c r="BH3" s="23">
        <f>MIN(AR5:AR13)</f>
        <v>4.1852442196318966</v>
      </c>
    </row>
    <row r="4" spans="1:65" x14ac:dyDescent="0.2">
      <c r="A4">
        <v>1</v>
      </c>
      <c r="D4" s="6"/>
      <c r="F4" s="5"/>
      <c r="G4" s="6"/>
      <c r="H4" s="12"/>
      <c r="I4" s="8"/>
      <c r="J4" s="8"/>
      <c r="K4" s="8"/>
      <c r="L4" s="8"/>
      <c r="M4" s="8"/>
      <c r="N4" s="14">
        <f>$N$3*Parameters!E15</f>
        <v>1009026392.9853771</v>
      </c>
      <c r="O4" s="8"/>
      <c r="P4" s="8"/>
      <c r="Q4" s="8"/>
      <c r="R4" s="8"/>
      <c r="S4" s="8"/>
      <c r="T4" s="8"/>
      <c r="U4" s="8"/>
      <c r="V4" s="16">
        <f>Parameters!C15</f>
        <v>3.6096393698449797E-3</v>
      </c>
      <c r="W4" s="16">
        <f>(V4*$U$3)/(Parameters!B15*POWER(Parameters!$B$8, $C$3))</f>
        <v>8.9266157604122695E-2</v>
      </c>
      <c r="X4" s="12">
        <f>$U$3*V4</f>
        <v>72802008.420707345</v>
      </c>
      <c r="Y4" s="8" cm="1">
        <f t="array" ref="Y4:Y13">Parameters!D15:D24</f>
        <v>0</v>
      </c>
      <c r="Z4" s="30">
        <f>(Y4*$U$3)/(Parameters!B15*POWER(Parameters!$B$8, $C$3))</f>
        <v>0</v>
      </c>
      <c r="AA4" s="6">
        <f>$U$3*Y4</f>
        <v>0</v>
      </c>
      <c r="AB4" s="3"/>
      <c r="AC4" s="3"/>
      <c r="AD4" s="6">
        <f>Parameters!B15*POWER(Parameters!$B$8,$C$3)</f>
        <v>815561130.60863996</v>
      </c>
      <c r="AE4" s="6">
        <f>$AE$3*Parameters!E15</f>
        <v>1009026392.9853771</v>
      </c>
      <c r="AF4" s="6">
        <f>AD4+AE4-X4</f>
        <v>1751785515.1733098</v>
      </c>
      <c r="AG4" s="6">
        <f>AD4+AE4-AA4</f>
        <v>1824587523.594017</v>
      </c>
      <c r="AH4" s="8">
        <f>($AB$3+$I$3)/10</f>
        <v>296054.13</v>
      </c>
      <c r="AI4" s="6">
        <f>AF4/AH4</f>
        <v>5917.1122361080043</v>
      </c>
      <c r="AJ4" s="6">
        <f>(AF4-AE4)/AH4</f>
        <v>2508.8625589784297</v>
      </c>
      <c r="AK4" s="6">
        <f>AG4/AH4</f>
        <v>6163.0199977079092</v>
      </c>
      <c r="AL4" s="6">
        <f>(AG4-AE4)/AH4</f>
        <v>2754.7703205783346</v>
      </c>
      <c r="AM4" s="19">
        <f>(POWER(AI4, -0.26) - 1)/-0.26</f>
        <v>3.4441056645745718</v>
      </c>
      <c r="AN4" s="19">
        <f>(AM4-$AM$4)*100</f>
        <v>0</v>
      </c>
      <c r="AO4" s="19">
        <f>LOG(AI4)</f>
        <v>3.7721098070765873</v>
      </c>
      <c r="AP4" s="23">
        <f>(POWER(AK4, -0.26) - 1)/-0.26</f>
        <v>3.4483396087835314</v>
      </c>
      <c r="AQ4" s="23">
        <f>(AP4-$AP$4)*100</f>
        <v>0</v>
      </c>
      <c r="AR4" s="23">
        <f>LOG(AK4)</f>
        <v>3.7897935769275124</v>
      </c>
      <c r="AT4">
        <f>SQRT(AM4)</f>
        <v>1.8558301820410648</v>
      </c>
      <c r="AX4">
        <f>SQRT(AO4)</f>
        <v>1.9421920108672539</v>
      </c>
      <c r="BB4" cm="1">
        <f t="array" ref="BB4:BB13">SQRT(AP4:AP13)</f>
        <v>1.8569705460193846</v>
      </c>
      <c r="BF4">
        <f>SQRT(AR4)</f>
        <v>1.9467392164662201</v>
      </c>
    </row>
    <row r="5" spans="1:65" x14ac:dyDescent="0.2">
      <c r="A5">
        <v>2</v>
      </c>
      <c r="D5" s="6"/>
      <c r="F5" s="5"/>
      <c r="G5" s="6"/>
      <c r="H5" s="12"/>
      <c r="I5" s="8"/>
      <c r="J5" s="8"/>
      <c r="K5" s="8"/>
      <c r="L5" s="8"/>
      <c r="M5" s="8"/>
      <c r="N5" s="14">
        <f>$N$3*Parameters!E16</f>
        <v>908123753.68683934</v>
      </c>
      <c r="O5" s="8"/>
      <c r="P5" s="8"/>
      <c r="Q5" s="8"/>
      <c r="R5" s="8"/>
      <c r="S5" s="8"/>
      <c r="T5" s="8"/>
      <c r="U5" s="8"/>
      <c r="V5" s="8">
        <f>Parameters!C16</f>
        <v>1.4401036406566694E-2</v>
      </c>
      <c r="W5" s="16">
        <f>(V5*$U$3)/(Parameters!B16*POWER(Parameters!$B$8, $C$3))</f>
        <v>7.8554218691627958E-2</v>
      </c>
      <c r="X5" s="12">
        <f>$U$3*V5</f>
        <v>290451279.56447554</v>
      </c>
      <c r="Y5" s="8">
        <v>3.4800777499171295E-3</v>
      </c>
      <c r="Z5" s="30">
        <f>(Y5*$U$3)/(Parameters!B16*POWER(Parameters!$B$8, $C$3))</f>
        <v>1.8982994064663517E-2</v>
      </c>
      <c r="AA5" s="6">
        <f t="shared" ref="AA5:AA13" si="0">$U$3*Y5</f>
        <v>70188909.111179113</v>
      </c>
      <c r="AB5" s="3"/>
      <c r="AC5" s="3"/>
      <c r="AD5" s="6">
        <f>Parameters!B16*POWER(Parameters!$B$8,$C$3)</f>
        <v>3697462522.0915198</v>
      </c>
      <c r="AE5" s="6">
        <f>$AE$3*Parameters!E16</f>
        <v>908123753.68683934</v>
      </c>
      <c r="AF5" s="6">
        <f t="shared" ref="AF5:AF13" si="1">AD5+AE5-X5</f>
        <v>4315134996.2138844</v>
      </c>
      <c r="AG5" s="6">
        <f t="shared" ref="AG5:AG13" si="2">AD5+AE5-AA5</f>
        <v>4535397366.6671801</v>
      </c>
      <c r="AH5" s="8">
        <f t="shared" ref="AH5:AH13" si="3">($AB$3+$I$3)/10</f>
        <v>296054.13</v>
      </c>
      <c r="AI5" s="6">
        <f t="shared" ref="AI5:AI13" si="4">AF5/AH5</f>
        <v>14575.493326892229</v>
      </c>
      <c r="AJ5" s="6">
        <f t="shared" ref="AJ5:AJ13" si="5">(AF5-AE5)/AH5</f>
        <v>11508.068617475612</v>
      </c>
      <c r="AK5" s="6">
        <f t="shared" ref="AK5:AK13" si="6">AG5/AH5</f>
        <v>15319.486901490549</v>
      </c>
      <c r="AL5" s="6">
        <f t="shared" ref="AL5:AL13" si="7">(AG5-AE5)/AH5</f>
        <v>12252.062192073932</v>
      </c>
      <c r="AM5" s="19">
        <f t="shared" ref="AM5:AM13" si="8">(POWER(AI5, -0.26) - 1)/-0.26</f>
        <v>3.5281117525516428</v>
      </c>
      <c r="AN5" s="19">
        <f t="shared" ref="AN5:AN13" si="9">(AM5-$AM$4)*100</f>
        <v>8.4006087977070987</v>
      </c>
      <c r="AO5" s="19">
        <f t="shared" ref="AO5:AO13" si="10">LOG(AI5)</f>
        <v>4.1636232629522354</v>
      </c>
      <c r="AP5" s="23">
        <f t="shared" ref="AP5:AP13" si="11">(POWER(AK5, -0.26) - 1)/-0.26</f>
        <v>3.5322019177992066</v>
      </c>
      <c r="AQ5" s="23">
        <f>(AP5-$AP$4)*100</f>
        <v>8.3862309015675152</v>
      </c>
      <c r="AR5" s="23">
        <f t="shared" ref="AR5:AR13" si="12">LOG(AK5)</f>
        <v>4.1852442196318966</v>
      </c>
      <c r="AT5">
        <f t="shared" ref="AT5:AT13" si="13">SQRT(AM5)</f>
        <v>1.8783268492335521</v>
      </c>
      <c r="AX5">
        <f t="shared" ref="AX5:AX13" si="14">SQRT(AO5)</f>
        <v>2.0404958375238689</v>
      </c>
      <c r="BB5">
        <v>1.8794153127500071</v>
      </c>
      <c r="BF5">
        <f t="shared" ref="BF5:BF13" si="15">SQRT(AR5)</f>
        <v>2.0457869438511667</v>
      </c>
    </row>
    <row r="6" spans="1:65" x14ac:dyDescent="0.2">
      <c r="A6">
        <v>3</v>
      </c>
      <c r="D6" s="6"/>
      <c r="F6" s="5"/>
      <c r="G6" s="6"/>
      <c r="H6" s="12"/>
      <c r="I6" s="8"/>
      <c r="J6" s="8"/>
      <c r="K6" s="8"/>
      <c r="L6" s="8"/>
      <c r="M6" s="8"/>
      <c r="N6" s="14">
        <f>$N$3*Parameters!E17</f>
        <v>807221114.38830161</v>
      </c>
      <c r="O6" s="8"/>
      <c r="P6" s="8"/>
      <c r="Q6" s="8"/>
      <c r="R6" s="8"/>
      <c r="S6" s="8"/>
      <c r="T6" s="8"/>
      <c r="U6" s="8"/>
      <c r="V6" s="8">
        <f>Parameters!C17</f>
        <v>3.1399077404942015E-2</v>
      </c>
      <c r="W6" s="16">
        <f>(V6*$U$3)/(Parameters!B17*POWER(Parameters!$B$8, $C$3))</f>
        <v>8.2124864995792857E-2</v>
      </c>
      <c r="X6" s="12">
        <f t="shared" ref="X6:X13" si="16">$U$3*V6</f>
        <v>633280963.3930831</v>
      </c>
      <c r="Y6" s="8">
        <v>1.0886748490444263E-2</v>
      </c>
      <c r="Z6" s="30">
        <f>(Y6*$U$3)/(Parameters!B17*POWER(Parameters!$B$8, $C$3))</f>
        <v>2.8474491096995274E-2</v>
      </c>
      <c r="AA6" s="6">
        <f t="shared" si="0"/>
        <v>219572393.26916039</v>
      </c>
      <c r="AB6" s="3"/>
      <c r="AC6" s="3"/>
      <c r="AD6" s="6">
        <f>Parameters!B17*POWER(Parameters!$B$8,$C$3)</f>
        <v>7711196401.0598392</v>
      </c>
      <c r="AE6" s="6">
        <f>$AE$3*Parameters!E17</f>
        <v>807221114.38830161</v>
      </c>
      <c r="AF6" s="6">
        <f>AD6+AE6-X6</f>
        <v>7885136552.0550575</v>
      </c>
      <c r="AG6" s="6">
        <f t="shared" si="2"/>
        <v>8298845122.1789808</v>
      </c>
      <c r="AH6" s="8">
        <f t="shared" si="3"/>
        <v>296054.13</v>
      </c>
      <c r="AI6" s="6">
        <f>AF6/AH6</f>
        <v>26634.104216195388</v>
      </c>
      <c r="AJ6" s="6">
        <f>(AF6-AE6)/AH6</f>
        <v>23907.504474491729</v>
      </c>
      <c r="AK6" s="6">
        <f t="shared" si="6"/>
        <v>28031.512758085762</v>
      </c>
      <c r="AL6" s="6">
        <f t="shared" si="7"/>
        <v>25304.913016382103</v>
      </c>
      <c r="AM6" s="19">
        <f t="shared" si="8"/>
        <v>3.5742516299689395</v>
      </c>
      <c r="AN6" s="19">
        <f t="shared" si="9"/>
        <v>13.014596539436774</v>
      </c>
      <c r="AO6" s="19">
        <f t="shared" si="10"/>
        <v>4.4254380947568377</v>
      </c>
      <c r="AP6" s="23">
        <f t="shared" si="11"/>
        <v>3.5778427999056084</v>
      </c>
      <c r="AQ6" s="23">
        <f t="shared" ref="AQ6:AQ13" si="17">(AP6-$AP$4)*100</f>
        <v>12.950319112207698</v>
      </c>
      <c r="AR6" s="23">
        <f t="shared" si="12"/>
        <v>4.4476465356754238</v>
      </c>
      <c r="AT6">
        <f t="shared" si="13"/>
        <v>1.8905691285877222</v>
      </c>
      <c r="AX6">
        <f t="shared" si="14"/>
        <v>2.1036725255506945</v>
      </c>
      <c r="BB6">
        <v>1.8915186491033094</v>
      </c>
      <c r="BF6">
        <f t="shared" si="15"/>
        <v>2.1089444126565837</v>
      </c>
    </row>
    <row r="7" spans="1:65" x14ac:dyDescent="0.2">
      <c r="A7">
        <v>4</v>
      </c>
      <c r="D7" s="6"/>
      <c r="F7" s="5"/>
      <c r="G7" s="6"/>
      <c r="H7" s="6"/>
      <c r="I7" s="8"/>
      <c r="J7" s="8"/>
      <c r="K7" s="8"/>
      <c r="L7" s="8"/>
      <c r="M7" s="8"/>
      <c r="N7" s="14">
        <f>$N$3*Parameters!E18</f>
        <v>706318475.08976388</v>
      </c>
      <c r="O7" s="8"/>
      <c r="P7" s="8"/>
      <c r="Q7" s="8"/>
      <c r="R7" s="8"/>
      <c r="S7" s="8"/>
      <c r="T7" s="8"/>
      <c r="U7" s="8"/>
      <c r="V7" s="8">
        <f>Parameters!C18</f>
        <v>5.1692242898110294E-2</v>
      </c>
      <c r="W7" s="16">
        <f>(V7*$U$3)/(Parameters!B18*POWER(Parameters!$B$8, $C$3))</f>
        <v>8.5695511299957783E-2</v>
      </c>
      <c r="X7" s="12">
        <f t="shared" si="16"/>
        <v>1042569275.5326675</v>
      </c>
      <c r="Y7" s="8">
        <v>2.2901398806974758E-2</v>
      </c>
      <c r="Z7" s="30">
        <f>(Y7*$U$3)/(Parameters!B18*POWER(Parameters!$B$8, $C$3))</f>
        <v>3.7965988129327027E-2</v>
      </c>
      <c r="AA7" s="6">
        <f t="shared" si="0"/>
        <v>461893185.98410463</v>
      </c>
      <c r="AB7" s="3"/>
      <c r="AC7" s="3"/>
      <c r="AD7" s="6">
        <f>Parameters!B18*POWER(Parameters!$B$8,$C$3)</f>
        <v>12165972986.419199</v>
      </c>
      <c r="AE7" s="6">
        <f>$AE$3*Parameters!E18</f>
        <v>706318475.08976388</v>
      </c>
      <c r="AF7" s="6">
        <f t="shared" si="1"/>
        <v>11829722185.976295</v>
      </c>
      <c r="AG7" s="6">
        <f t="shared" si="2"/>
        <v>12410398275.524858</v>
      </c>
      <c r="AH7" s="8">
        <f t="shared" si="3"/>
        <v>296054.13</v>
      </c>
      <c r="AI7" s="6">
        <f>AF7/AH7</f>
        <v>39957.970476467584</v>
      </c>
      <c r="AJ7" s="6">
        <f t="shared" si="5"/>
        <v>37572.195702476878</v>
      </c>
      <c r="AK7" s="6">
        <f t="shared" si="6"/>
        <v>41919.355340609021</v>
      </c>
      <c r="AL7" s="6">
        <f t="shared" si="7"/>
        <v>39533.580566618322</v>
      </c>
      <c r="AM7" s="19">
        <f t="shared" si="8"/>
        <v>3.6014674850029693</v>
      </c>
      <c r="AN7" s="19">
        <f t="shared" si="9"/>
        <v>15.736182042839753</v>
      </c>
      <c r="AO7" s="19">
        <f t="shared" si="10"/>
        <v>4.6016034216646879</v>
      </c>
      <c r="AP7" s="23">
        <f t="shared" si="11"/>
        <v>3.6044971368624967</v>
      </c>
      <c r="AQ7" s="23">
        <f t="shared" si="17"/>
        <v>15.615752807896532</v>
      </c>
      <c r="AR7" s="23">
        <f t="shared" si="12"/>
        <v>4.6224145952025548</v>
      </c>
      <c r="AT7">
        <f t="shared" si="13"/>
        <v>1.8977532729527749</v>
      </c>
      <c r="AX7">
        <f t="shared" si="14"/>
        <v>2.145134825987562</v>
      </c>
      <c r="BB7">
        <v>1.8985513258436013</v>
      </c>
      <c r="BF7">
        <f t="shared" si="15"/>
        <v>2.1499801383274577</v>
      </c>
    </row>
    <row r="8" spans="1:65" x14ac:dyDescent="0.2">
      <c r="A8">
        <v>5</v>
      </c>
      <c r="D8" s="6"/>
      <c r="E8" s="5"/>
      <c r="F8" s="6"/>
      <c r="G8" s="6"/>
      <c r="H8" s="12"/>
      <c r="I8" s="8"/>
      <c r="J8" s="8"/>
      <c r="K8" s="6"/>
      <c r="L8" s="6"/>
      <c r="M8" s="6"/>
      <c r="N8" s="14">
        <f>$N$3*Parameters!E19</f>
        <v>605415835.79122615</v>
      </c>
      <c r="O8" s="6"/>
      <c r="P8" s="6"/>
      <c r="Q8" s="6"/>
      <c r="R8" s="6"/>
      <c r="S8" s="6"/>
      <c r="T8" s="6"/>
      <c r="U8" s="6"/>
      <c r="V8" s="8">
        <f>Parameters!C19</f>
        <v>7.0583126136746943E-2</v>
      </c>
      <c r="W8" s="16">
        <f>(V8*$U$3)/(Parameters!B19*POWER(Parameters!$B$8, $C$3))</f>
        <v>8.9266157604122681E-2</v>
      </c>
      <c r="X8" s="12">
        <f t="shared" si="16"/>
        <v>1423575270.786118</v>
      </c>
      <c r="Y8" s="8">
        <v>3.7524833052111288E-2</v>
      </c>
      <c r="Z8" s="30">
        <f>(Y8*$U$3)/(Parameters!B19*POWER(Parameters!$B$8, $C$3))</f>
        <v>4.7457485161658784E-2</v>
      </c>
      <c r="AA8" s="6">
        <f t="shared" si="0"/>
        <v>756829957.77020442</v>
      </c>
      <c r="AB8" s="3"/>
      <c r="AC8" s="3"/>
      <c r="AD8" s="6">
        <f>Parameters!B19*POWER(Parameters!$B$8,$C$3)</f>
        <v>15947536098.723839</v>
      </c>
      <c r="AE8" s="6"/>
      <c r="AF8" s="6">
        <f t="shared" si="1"/>
        <v>14523960827.937721</v>
      </c>
      <c r="AG8" s="6">
        <f t="shared" si="2"/>
        <v>15190706140.953634</v>
      </c>
      <c r="AH8" s="8">
        <f t="shared" si="3"/>
        <v>296054.13</v>
      </c>
      <c r="AI8" s="6">
        <f t="shared" si="4"/>
        <v>49058.463828684711</v>
      </c>
      <c r="AJ8" s="6">
        <f t="shared" si="5"/>
        <v>49058.463828684711</v>
      </c>
      <c r="AK8" s="6">
        <f t="shared" si="6"/>
        <v>51310.569931767663</v>
      </c>
      <c r="AL8" s="6">
        <f t="shared" si="7"/>
        <v>51310.569931767663</v>
      </c>
      <c r="AM8" s="19">
        <f t="shared" si="8"/>
        <v>3.6141789300475731</v>
      </c>
      <c r="AN8" s="19">
        <f t="shared" si="9"/>
        <v>17.007326547300128</v>
      </c>
      <c r="AO8" s="19">
        <f t="shared" si="10"/>
        <v>4.6907139449879649</v>
      </c>
      <c r="AP8" s="23">
        <f t="shared" si="11"/>
        <v>3.6168703084550469</v>
      </c>
      <c r="AQ8" s="23">
        <f t="shared" si="17"/>
        <v>16.853069967151548</v>
      </c>
      <c r="AR8" s="23">
        <f t="shared" si="12"/>
        <v>4.7102068386048508</v>
      </c>
      <c r="AT8">
        <f t="shared" si="13"/>
        <v>1.9010994003595849</v>
      </c>
      <c r="AX8">
        <f t="shared" si="14"/>
        <v>2.1658056110805433</v>
      </c>
      <c r="BB8">
        <v>1.9018071165223478</v>
      </c>
      <c r="BF8">
        <f t="shared" si="15"/>
        <v>2.1703010939970637</v>
      </c>
    </row>
    <row r="9" spans="1:65" x14ac:dyDescent="0.2">
      <c r="A9">
        <v>6</v>
      </c>
      <c r="N9" s="14">
        <f>$N$3*Parameters!E20</f>
        <v>504513196.49268854</v>
      </c>
      <c r="O9" s="8"/>
      <c r="P9" s="8"/>
      <c r="Q9" s="8"/>
      <c r="R9" s="8"/>
      <c r="S9" s="8"/>
      <c r="T9" s="8"/>
      <c r="U9" s="8"/>
      <c r="V9" s="8">
        <f>Parameters!C20</f>
        <v>9.0905110853151228E-2</v>
      </c>
      <c r="W9" s="16">
        <f>(V9*$U$3)/(Parameters!B20*POWER(Parameters!$B$8, $C$3))</f>
        <v>9.6407450212452506E-2</v>
      </c>
      <c r="X9" s="12">
        <f t="shared" si="16"/>
        <v>1833444831.387871</v>
      </c>
      <c r="Y9" s="8">
        <v>5.3698687476024153E-2</v>
      </c>
      <c r="Z9" s="30">
        <f>(Y9*$U$3)/(Parameters!B20*POWER(Parameters!$B$8, $C$3))</f>
        <v>5.6948982193990541E-2</v>
      </c>
      <c r="AA9" s="6">
        <f t="shared" si="0"/>
        <v>1083036807.0753658</v>
      </c>
      <c r="AB9" s="3"/>
      <c r="AC9" s="3"/>
      <c r="AD9" s="6">
        <f>Parameters!B20*POWER(Parameters!$B$8,$C$3)</f>
        <v>19017667486.771198</v>
      </c>
      <c r="AE9" s="6"/>
      <c r="AF9" s="6">
        <f t="shared" si="1"/>
        <v>17184222655.383327</v>
      </c>
      <c r="AG9" s="6">
        <f t="shared" si="2"/>
        <v>17934630679.695831</v>
      </c>
      <c r="AH9" s="8">
        <f t="shared" si="3"/>
        <v>296054.13</v>
      </c>
      <c r="AI9" s="6">
        <f t="shared" si="4"/>
        <v>58044.191632737318</v>
      </c>
      <c r="AJ9" s="6">
        <f t="shared" si="5"/>
        <v>58044.191632737318</v>
      </c>
      <c r="AK9" s="6">
        <f t="shared" si="6"/>
        <v>60578.890352571099</v>
      </c>
      <c r="AL9" s="6">
        <f t="shared" si="7"/>
        <v>60578.890352571099</v>
      </c>
      <c r="AM9" s="19">
        <f t="shared" si="8"/>
        <v>3.6241045644975158</v>
      </c>
      <c r="AN9" s="19">
        <f t="shared" si="9"/>
        <v>17.999889992294406</v>
      </c>
      <c r="AO9" s="19">
        <f t="shared" si="10"/>
        <v>4.7637587672604713</v>
      </c>
      <c r="AP9" s="23">
        <f t="shared" si="11"/>
        <v>3.6265585108911607</v>
      </c>
      <c r="AQ9" s="23">
        <f t="shared" si="17"/>
        <v>17.821890210762923</v>
      </c>
      <c r="AR9" s="23">
        <f t="shared" si="12"/>
        <v>4.7823213139263698</v>
      </c>
      <c r="AT9">
        <f t="shared" si="13"/>
        <v>1.9037081090591372</v>
      </c>
      <c r="AX9">
        <f t="shared" si="14"/>
        <v>2.1826036670134301</v>
      </c>
      <c r="BB9">
        <v>1.9043525174954243</v>
      </c>
      <c r="BF9">
        <f t="shared" si="15"/>
        <v>2.1868519186095727</v>
      </c>
    </row>
    <row r="10" spans="1:65" x14ac:dyDescent="0.2">
      <c r="A10">
        <v>7</v>
      </c>
      <c r="N10" s="14">
        <f>$N$3*Parameters!E21</f>
        <v>403610557.19415081</v>
      </c>
      <c r="V10" s="8">
        <f>Parameters!C21</f>
        <v>0.11035602414482847</v>
      </c>
      <c r="W10" s="16">
        <f>(V10*$U$3)/(Parameters!B21*POWER(Parameters!$B$8, $C$3))</f>
        <v>9.9978096516617418E-2</v>
      </c>
      <c r="X10" s="12">
        <f t="shared" si="16"/>
        <v>2225745947.4165201</v>
      </c>
      <c r="Y10" s="8">
        <v>8.3813868210341438E-2</v>
      </c>
      <c r="Z10" s="30">
        <f>(Y10*$U$3)/(Parameters!B21*POWER(Parameters!$B$8, $C$3))</f>
        <v>7.5931976258654055E-2</v>
      </c>
      <c r="AA10" s="6">
        <f t="shared" si="0"/>
        <v>1690423145.9231293</v>
      </c>
      <c r="AD10" s="6">
        <f>Parameters!B21*POWER(Parameters!$B$8,$C$3)</f>
        <v>22262335701.16608</v>
      </c>
      <c r="AE10" s="6"/>
      <c r="AF10" s="6">
        <f t="shared" si="1"/>
        <v>20036589753.749561</v>
      </c>
      <c r="AG10" s="6">
        <f t="shared" si="2"/>
        <v>20571912555.24295</v>
      </c>
      <c r="AH10" s="8">
        <f t="shared" si="3"/>
        <v>296054.13</v>
      </c>
      <c r="AI10" s="6">
        <f t="shared" si="4"/>
        <v>67678.805067673136</v>
      </c>
      <c r="AJ10" s="6">
        <f t="shared" si="5"/>
        <v>67678.805067673136</v>
      </c>
      <c r="AK10" s="6">
        <f t="shared" si="6"/>
        <v>69486.997378631233</v>
      </c>
      <c r="AL10" s="6">
        <f t="shared" si="7"/>
        <v>69486.997378631233</v>
      </c>
      <c r="AM10" s="19">
        <f t="shared" si="8"/>
        <v>3.6327958348595359</v>
      </c>
      <c r="AN10" s="19">
        <f t="shared" si="9"/>
        <v>18.869017028496415</v>
      </c>
      <c r="AO10" s="19">
        <f t="shared" si="10"/>
        <v>4.8304526822251592</v>
      </c>
      <c r="AP10" s="23">
        <f t="shared" si="11"/>
        <v>3.6342534687762127</v>
      </c>
      <c r="AQ10" s="23">
        <f t="shared" si="17"/>
        <v>18.591385999268127</v>
      </c>
      <c r="AR10" s="23">
        <f t="shared" si="12"/>
        <v>4.8419035456690107</v>
      </c>
      <c r="AT10">
        <f t="shared" si="13"/>
        <v>1.9059894634702301</v>
      </c>
      <c r="AX10">
        <f t="shared" si="14"/>
        <v>2.1978290839428709</v>
      </c>
      <c r="BB10">
        <v>1.9063718075905898</v>
      </c>
      <c r="BF10">
        <f t="shared" si="15"/>
        <v>2.2004325814868793</v>
      </c>
    </row>
    <row r="11" spans="1:65" x14ac:dyDescent="0.2">
      <c r="A11">
        <v>8</v>
      </c>
      <c r="N11" s="14">
        <f>$N$3*Parameters!E22</f>
        <v>302707917.89561307</v>
      </c>
      <c r="V11" s="8">
        <f>Parameters!C22</f>
        <v>0.13623161609900061</v>
      </c>
      <c r="W11" s="16">
        <f>(V11*$U$3)/(Parameters!B22*POWER(Parameters!$B$8, $C$3))</f>
        <v>0.1035487428207823</v>
      </c>
      <c r="X11" s="12">
        <f t="shared" si="16"/>
        <v>2747624969.2034888</v>
      </c>
      <c r="Y11" s="8">
        <v>0.13736006243615159</v>
      </c>
      <c r="Z11" s="30">
        <f>(Y11*$U$3)/(Parameters!B22*POWER(Parameters!$B$8, $C$3))</f>
        <v>0.10440646735564933</v>
      </c>
      <c r="AA11" s="6">
        <f t="shared" si="0"/>
        <v>2770384350.7710466</v>
      </c>
      <c r="AD11" s="6">
        <f>Parameters!B22*POWER(Parameters!$B$8,$C$3)</f>
        <v>26534604808.857597</v>
      </c>
      <c r="AE11" s="6"/>
      <c r="AF11" s="6">
        <f t="shared" si="1"/>
        <v>23786979839.65411</v>
      </c>
      <c r="AG11" s="6">
        <f t="shared" si="2"/>
        <v>23764220458.086552</v>
      </c>
      <c r="AH11" s="8">
        <f t="shared" si="3"/>
        <v>296054.13</v>
      </c>
      <c r="AI11" s="6">
        <f t="shared" si="4"/>
        <v>80346.725241272972</v>
      </c>
      <c r="AJ11" s="6">
        <f t="shared" si="5"/>
        <v>80346.725241272972</v>
      </c>
      <c r="AK11" s="6">
        <f t="shared" si="6"/>
        <v>80269.849497071875</v>
      </c>
      <c r="AL11" s="6">
        <f t="shared" si="7"/>
        <v>80269.849497071875</v>
      </c>
      <c r="AM11" s="19">
        <f t="shared" si="8"/>
        <v>3.6421046326802937</v>
      </c>
      <c r="AN11" s="19">
        <f t="shared" si="9"/>
        <v>19.799896810572193</v>
      </c>
      <c r="AO11" s="19">
        <f t="shared" si="10"/>
        <v>4.9049681805563958</v>
      </c>
      <c r="AP11" s="23">
        <f t="shared" si="11"/>
        <v>3.6420538411472765</v>
      </c>
      <c r="AQ11" s="23">
        <f t="shared" si="17"/>
        <v>19.371423236374508</v>
      </c>
      <c r="AR11" s="23">
        <f t="shared" si="12"/>
        <v>4.9045524486918284</v>
      </c>
      <c r="AT11">
        <f t="shared" si="13"/>
        <v>1.9084298867603948</v>
      </c>
      <c r="AX11">
        <f t="shared" si="14"/>
        <v>2.2147162754078447</v>
      </c>
      <c r="BB11">
        <v>1.90841657956204</v>
      </c>
      <c r="BF11">
        <f t="shared" si="15"/>
        <v>2.2146224167319875</v>
      </c>
    </row>
    <row r="12" spans="1:65" x14ac:dyDescent="0.2">
      <c r="A12">
        <v>9</v>
      </c>
      <c r="N12" s="14">
        <f>$N$3*Parameters!E23</f>
        <v>201805278.5970754</v>
      </c>
      <c r="V12" s="8">
        <f>Parameters!C23</f>
        <v>0.17539672338276532</v>
      </c>
      <c r="W12" s="16">
        <f>(V12*$U$3)/(Parameters!B23*POWER(Parameters!$B$8, $C$3))</f>
        <v>0.10711938912494721</v>
      </c>
      <c r="X12" s="12">
        <f t="shared" si="16"/>
        <v>3537537250.7711062</v>
      </c>
      <c r="Y12" s="8">
        <v>0.21757858127224192</v>
      </c>
      <c r="Z12" s="30">
        <f>(Y12*$U$3)/(Parameters!B23*POWER(Parameters!$B$8, $C$3))</f>
        <v>0.13288095845264458</v>
      </c>
      <c r="AA12" s="6">
        <f t="shared" si="0"/>
        <v>4388293699.995739</v>
      </c>
      <c r="AD12" s="6">
        <f>Parameters!B23*POWER(Parameters!$B$8,$C$3)</f>
        <v>33024247801.159679</v>
      </c>
      <c r="AE12" s="6"/>
      <c r="AF12" s="6">
        <f t="shared" si="1"/>
        <v>29486710550.388573</v>
      </c>
      <c r="AG12" s="6">
        <f t="shared" si="2"/>
        <v>28635954101.16394</v>
      </c>
      <c r="AH12" s="8">
        <f t="shared" si="3"/>
        <v>296054.13</v>
      </c>
      <c r="AI12" s="6">
        <f t="shared" si="4"/>
        <v>99599.051532868572</v>
      </c>
      <c r="AJ12" s="6">
        <f t="shared" si="5"/>
        <v>99599.051532868572</v>
      </c>
      <c r="AK12" s="6">
        <f t="shared" si="6"/>
        <v>96725.399848885543</v>
      </c>
      <c r="AL12" s="6">
        <f t="shared" si="7"/>
        <v>96725.399848885543</v>
      </c>
      <c r="AM12" s="19">
        <f t="shared" si="8"/>
        <v>3.6531880661413112</v>
      </c>
      <c r="AN12" s="19">
        <f t="shared" si="9"/>
        <v>20.908240156673941</v>
      </c>
      <c r="AO12" s="19">
        <f t="shared" si="10"/>
        <v>4.99825520272086</v>
      </c>
      <c r="AP12" s="23">
        <f t="shared" si="11"/>
        <v>3.6517136219101838</v>
      </c>
      <c r="AQ12" s="23">
        <f t="shared" si="17"/>
        <v>20.337401312665236</v>
      </c>
      <c r="AR12" s="23">
        <f t="shared" si="12"/>
        <v>4.9855405337078924</v>
      </c>
      <c r="AT12">
        <f t="shared" si="13"/>
        <v>1.9113314903860374</v>
      </c>
      <c r="AX12">
        <f t="shared" si="14"/>
        <v>2.2356777949250333</v>
      </c>
      <c r="BB12">
        <v>1.9109457401795018</v>
      </c>
      <c r="BF12">
        <f t="shared" si="15"/>
        <v>2.2328324016163625</v>
      </c>
    </row>
    <row r="13" spans="1:65" x14ac:dyDescent="0.2">
      <c r="A13">
        <v>10</v>
      </c>
      <c r="N13" s="14">
        <f>$N$3*Parameters!E24</f>
        <v>100902639.2985377</v>
      </c>
      <c r="V13" s="8">
        <f>Parameters!C24</f>
        <v>0.31542540330404345</v>
      </c>
      <c r="W13" s="16">
        <f>(V13*$U$3)/(Parameters!B24*POWER(Parameters!$B$8, $C$3))</f>
        <v>0.11069003542911213</v>
      </c>
      <c r="X13" s="12">
        <f t="shared" si="16"/>
        <v>6361744350.2208309</v>
      </c>
      <c r="Y13" s="8">
        <v>0.43275574250579357</v>
      </c>
      <c r="Z13" s="30">
        <f>(Y13*$U$3)/(Parameters!B24*POWER(Parameters!$B$8, $C$3))</f>
        <v>0.15186395251730814</v>
      </c>
      <c r="AA13" s="6">
        <f t="shared" si="0"/>
        <v>8728153696.7969418</v>
      </c>
      <c r="AD13" s="6">
        <f>Parameters!B24*POWER(Parameters!$B$8,$C$3)</f>
        <v>57473505411.379196</v>
      </c>
      <c r="AE13" s="6"/>
      <c r="AF13" s="6">
        <f t="shared" si="1"/>
        <v>51111761061.158363</v>
      </c>
      <c r="AG13" s="6">
        <f t="shared" si="2"/>
        <v>48745351714.582253</v>
      </c>
      <c r="AH13" s="8">
        <f t="shared" si="3"/>
        <v>296054.13</v>
      </c>
      <c r="AI13" s="6">
        <f t="shared" si="4"/>
        <v>172643.29689019491</v>
      </c>
      <c r="AJ13" s="6">
        <f t="shared" si="5"/>
        <v>172643.29689019491</v>
      </c>
      <c r="AK13" s="6">
        <f t="shared" si="6"/>
        <v>164650.13244227416</v>
      </c>
      <c r="AL13" s="6">
        <f t="shared" si="7"/>
        <v>164650.13244227416</v>
      </c>
      <c r="AM13" s="19">
        <f t="shared" si="8"/>
        <v>3.6789032306954876</v>
      </c>
      <c r="AN13" s="19">
        <f t="shared" si="9"/>
        <v>23.479756612091585</v>
      </c>
      <c r="AO13" s="19">
        <f t="shared" si="10"/>
        <v>5.2371497209414049</v>
      </c>
      <c r="AP13" s="23">
        <f t="shared" si="11"/>
        <v>3.6768290700219817</v>
      </c>
      <c r="AQ13" s="23">
        <f t="shared" si="17"/>
        <v>22.848946123845025</v>
      </c>
      <c r="AR13" s="23">
        <f t="shared" si="12"/>
        <v>5.2165620843885021</v>
      </c>
      <c r="AT13">
        <f t="shared" si="13"/>
        <v>1.9180467227613325</v>
      </c>
      <c r="AX13">
        <f t="shared" si="14"/>
        <v>2.2884819686729903</v>
      </c>
      <c r="BB13">
        <v>1.9175059504528225</v>
      </c>
      <c r="BF13">
        <f t="shared" si="15"/>
        <v>2.2839794404478559</v>
      </c>
    </row>
    <row r="14" spans="1:65" x14ac:dyDescent="0.2">
      <c r="I14" s="24"/>
      <c r="N14" s="14"/>
      <c r="V14" s="29"/>
    </row>
    <row r="15" spans="1:65" x14ac:dyDescent="0.2">
      <c r="A15" s="2" t="s">
        <v>90</v>
      </c>
      <c r="B15" s="51" t="s">
        <v>39</v>
      </c>
      <c r="C15" s="51"/>
      <c r="D15" s="51" t="s">
        <v>47</v>
      </c>
      <c r="E15" s="51"/>
      <c r="F15" s="51"/>
      <c r="G15" s="51"/>
      <c r="H15" s="52"/>
      <c r="I15" s="51"/>
      <c r="J15" s="51"/>
      <c r="K15" s="51"/>
      <c r="L15" s="51"/>
      <c r="M15" s="51"/>
      <c r="N15" s="51"/>
      <c r="O15" s="15"/>
      <c r="P15" s="15"/>
      <c r="Q15" s="15"/>
      <c r="R15" s="15"/>
      <c r="S15" s="15"/>
      <c r="T15" s="15"/>
      <c r="U15" s="15"/>
      <c r="V15" s="51" t="s">
        <v>157</v>
      </c>
      <c r="W15" s="51"/>
      <c r="X15" s="51"/>
      <c r="Y15" s="51" t="s">
        <v>159</v>
      </c>
      <c r="Z15" s="51"/>
      <c r="AA15" s="51"/>
      <c r="AB15" s="51" t="s">
        <v>91</v>
      </c>
      <c r="AC15" s="51"/>
      <c r="AD15" s="51" t="s">
        <v>48</v>
      </c>
      <c r="AE15" s="51"/>
      <c r="AF15" s="2" t="s">
        <v>211</v>
      </c>
      <c r="AG15" s="15" t="s">
        <v>204</v>
      </c>
      <c r="AH15" s="2" t="s">
        <v>92</v>
      </c>
      <c r="AI15" s="2" t="s">
        <v>184</v>
      </c>
      <c r="AJ15" s="2"/>
      <c r="AK15" s="15" t="s">
        <v>93</v>
      </c>
      <c r="AL15" s="15"/>
      <c r="AM15" s="51" t="s">
        <v>205</v>
      </c>
      <c r="AN15" s="51"/>
      <c r="AO15" s="51"/>
      <c r="AP15" s="51" t="s">
        <v>213</v>
      </c>
      <c r="AQ15" s="51"/>
      <c r="AR15" s="51"/>
      <c r="AS15" s="51" t="s">
        <v>214</v>
      </c>
      <c r="AT15" s="51"/>
      <c r="AU15" s="51"/>
      <c r="AV15" s="51"/>
      <c r="AW15" s="51" t="s">
        <v>216</v>
      </c>
      <c r="AX15" s="51"/>
      <c r="AY15" s="51"/>
      <c r="AZ15" s="51"/>
      <c r="BA15" s="51" t="s">
        <v>217</v>
      </c>
      <c r="BB15" s="51"/>
      <c r="BC15" s="51"/>
      <c r="BD15" s="51"/>
      <c r="BE15" s="51" t="s">
        <v>218</v>
      </c>
      <c r="BF15" s="51"/>
      <c r="BG15" s="51"/>
      <c r="BH15" s="51"/>
    </row>
    <row r="16" spans="1:65" x14ac:dyDescent="0.2">
      <c r="A16" s="9"/>
      <c r="B16" s="9" t="s">
        <v>39</v>
      </c>
      <c r="C16" s="9" t="s">
        <v>52</v>
      </c>
      <c r="D16" s="9" t="s">
        <v>53</v>
      </c>
      <c r="E16" s="9" t="s">
        <v>54</v>
      </c>
      <c r="F16" s="9" t="s">
        <v>55</v>
      </c>
      <c r="G16" s="9" t="s">
        <v>56</v>
      </c>
      <c r="H16" s="11" t="s">
        <v>57</v>
      </c>
      <c r="I16" s="9" t="s">
        <v>94</v>
      </c>
      <c r="J16" s="9" t="s">
        <v>59</v>
      </c>
      <c r="K16" s="9" t="s">
        <v>60</v>
      </c>
      <c r="L16" s="9" t="s">
        <v>61</v>
      </c>
      <c r="M16" s="9" t="s">
        <v>62</v>
      </c>
      <c r="N16" s="11" t="s">
        <v>95</v>
      </c>
      <c r="O16" s="9" t="s">
        <v>58</v>
      </c>
      <c r="P16" s="9" t="s">
        <v>59</v>
      </c>
      <c r="Q16" s="9" t="s">
        <v>60</v>
      </c>
      <c r="R16" s="9" t="s">
        <v>61</v>
      </c>
      <c r="S16" s="9" t="s">
        <v>62</v>
      </c>
      <c r="T16" s="11" t="s">
        <v>63</v>
      </c>
      <c r="U16" s="9" t="s">
        <v>96</v>
      </c>
      <c r="V16" s="9" t="s">
        <v>64</v>
      </c>
      <c r="W16" s="9" t="s">
        <v>97</v>
      </c>
      <c r="X16" s="11" t="s">
        <v>66</v>
      </c>
      <c r="Y16" s="9" t="s">
        <v>64</v>
      </c>
      <c r="Z16" s="9" t="s">
        <v>97</v>
      </c>
      <c r="AA16" s="9" t="s">
        <v>66</v>
      </c>
      <c r="AB16" s="9" t="s">
        <v>98</v>
      </c>
      <c r="AC16" s="9" t="s">
        <v>99</v>
      </c>
      <c r="AD16" s="9" t="s">
        <v>100</v>
      </c>
      <c r="AE16" s="9" t="s">
        <v>68</v>
      </c>
      <c r="AF16" s="9" t="s">
        <v>101</v>
      </c>
      <c r="AG16" s="9" t="s">
        <v>101</v>
      </c>
      <c r="AH16" s="9"/>
      <c r="AI16" s="9"/>
      <c r="AJ16" s="9"/>
      <c r="AK16" s="9"/>
      <c r="AL16" s="9"/>
      <c r="AM16" s="9" t="s">
        <v>212</v>
      </c>
      <c r="AN16" s="9" t="s">
        <v>139</v>
      </c>
      <c r="AO16" s="9" t="s">
        <v>250</v>
      </c>
      <c r="AP16" s="9" t="s">
        <v>212</v>
      </c>
      <c r="AQ16" s="9" t="s">
        <v>139</v>
      </c>
      <c r="AR16" s="9" t="s">
        <v>250</v>
      </c>
      <c r="AS16" s="17" t="s">
        <v>49</v>
      </c>
      <c r="AT16" s="9" t="s">
        <v>72</v>
      </c>
      <c r="AU16" s="9" t="s">
        <v>50</v>
      </c>
      <c r="AV16" s="9" t="s">
        <v>51</v>
      </c>
      <c r="AW16" s="17" t="s">
        <v>49</v>
      </c>
      <c r="AX16" s="9" t="s">
        <v>72</v>
      </c>
      <c r="AY16" s="9" t="s">
        <v>50</v>
      </c>
      <c r="AZ16" s="9" t="s">
        <v>51</v>
      </c>
      <c r="BA16" s="9" t="s">
        <v>49</v>
      </c>
      <c r="BB16" s="9" t="s">
        <v>72</v>
      </c>
      <c r="BC16" s="9" t="s">
        <v>50</v>
      </c>
      <c r="BD16" s="9" t="s">
        <v>51</v>
      </c>
      <c r="BE16" s="9" t="s">
        <v>49</v>
      </c>
      <c r="BF16" s="9" t="s">
        <v>72</v>
      </c>
      <c r="BG16" s="9" t="s">
        <v>50</v>
      </c>
      <c r="BH16" s="9" t="s">
        <v>51</v>
      </c>
    </row>
    <row r="17" spans="1:60" x14ac:dyDescent="0.2">
      <c r="A17" t="s">
        <v>77</v>
      </c>
      <c r="B17">
        <v>2040</v>
      </c>
      <c r="C17">
        <v>16</v>
      </c>
      <c r="D17" s="6">
        <f>Parameters!$B$4</f>
        <v>27012.440000000002</v>
      </c>
      <c r="E17">
        <f>Parameters!$B$5</f>
        <v>20778.68</v>
      </c>
      <c r="F17" s="5">
        <f>Parameters!$B$8</f>
        <v>1.01088</v>
      </c>
      <c r="G17" s="6">
        <f>D17*POWER(F17,C17)</f>
        <v>32118.664788541773</v>
      </c>
      <c r="H17" s="12">
        <f>E17*POWER(F17,C17)</f>
        <v>24706.522538074205</v>
      </c>
      <c r="I17" s="8">
        <f>Parameters!B3*Parameters!B40</f>
        <v>320687.09999999998</v>
      </c>
      <c r="J17" s="8">
        <f>I17*Parameters!$B$10</f>
        <v>134688.58199999999</v>
      </c>
      <c r="K17" s="8">
        <f>I17*Parameters!$B$9</f>
        <v>185998.51799999998</v>
      </c>
      <c r="L17" s="8">
        <f>J17*G17</f>
        <v>4326017416.1020212</v>
      </c>
      <c r="M17" s="8">
        <f>K17*H17</f>
        <v>4595376577.0153999</v>
      </c>
      <c r="N17" s="14">
        <f>M17+L17</f>
        <v>8921393993.1174202</v>
      </c>
      <c r="O17" s="8">
        <f>Parameters!B40</f>
        <v>1287900</v>
      </c>
      <c r="P17" s="8">
        <f>O17*Parameters!$B$10</f>
        <v>540918</v>
      </c>
      <c r="Q17" s="8">
        <f>O17*Parameters!$B$9</f>
        <v>746982</v>
      </c>
      <c r="R17" s="8">
        <f>P17*G17</f>
        <v>17373563920.08844</v>
      </c>
      <c r="S17" s="8">
        <f>Q17*H17</f>
        <v>18455327618.535748</v>
      </c>
      <c r="T17" s="14">
        <f>S17+R17</f>
        <v>35828891538.624191</v>
      </c>
      <c r="U17" s="8">
        <f>T17-SUM(N22:N27)</f>
        <v>32422541104.888451</v>
      </c>
      <c r="AA17" s="6">
        <f>SUM(AA18:AA27)</f>
        <v>32422541104.888454</v>
      </c>
      <c r="AB17" s="3">
        <f>Parameters!C40*Parameters!B2</f>
        <v>3054491</v>
      </c>
      <c r="AC17" s="3">
        <f>AB17+I17</f>
        <v>3375178.1</v>
      </c>
      <c r="AD17" s="6">
        <f>SUM(AD18:AD27)</f>
        <v>231144320131.69318</v>
      </c>
      <c r="AE17" s="6">
        <f>N17</f>
        <v>8921393993.1174202</v>
      </c>
      <c r="AF17" s="6">
        <f>AD17+AE17-X17</f>
        <v>240065714124.81061</v>
      </c>
      <c r="AG17" s="6">
        <f>AD17+AE17-AA17</f>
        <v>207643173019.92215</v>
      </c>
      <c r="AH17" s="6"/>
      <c r="AI17" s="6"/>
      <c r="AJ17" s="6"/>
      <c r="AK17" s="6"/>
      <c r="AL17" s="6"/>
      <c r="AS17" s="18">
        <f>SUM(AN18:AN27)</f>
        <v>161.58494131288847</v>
      </c>
      <c r="AU17">
        <f>SUM(AT18:AT27)</f>
        <v>18.965149325340764</v>
      </c>
      <c r="AV17" s="16">
        <f>MIN(AM19:AM27)</f>
        <v>3.5250847370984535</v>
      </c>
      <c r="AW17" s="16">
        <f>SUM(AO18:AO27)</f>
        <v>46.254708764885983</v>
      </c>
      <c r="AX17" s="16"/>
      <c r="AY17" s="16">
        <f>SUM(AX18:AX27)</f>
        <v>21.484862648337646</v>
      </c>
      <c r="AZ17" s="16">
        <f>MIN(AO19:AO27)</f>
        <v>4.147800496625945</v>
      </c>
      <c r="BA17" s="23">
        <f>SUM(AQ18:AQ27)</f>
        <v>157.66793374106757</v>
      </c>
      <c r="BC17" s="23">
        <f>SUM(BB18:BB27)</f>
        <v>18.972095048170015</v>
      </c>
      <c r="BD17" s="23">
        <f>MIN(AP19:AP27)</f>
        <v>3.5310385838557807</v>
      </c>
      <c r="BE17" s="23">
        <f>SUM(AR18:AR27)</f>
        <v>46.395522781677435</v>
      </c>
      <c r="BG17">
        <f>SUM(BF17:BF27)</f>
        <v>21.519196991606009</v>
      </c>
      <c r="BH17" s="23">
        <f>MIN(AR19:AR27)</f>
        <v>4.1790662066127737</v>
      </c>
    </row>
    <row r="18" spans="1:60" x14ac:dyDescent="0.2">
      <c r="A18">
        <v>1</v>
      </c>
      <c r="D18" s="6"/>
      <c r="F18" s="5"/>
      <c r="G18" s="6"/>
      <c r="H18" s="12"/>
      <c r="I18" s="8"/>
      <c r="J18" s="8"/>
      <c r="K18" s="8"/>
      <c r="L18" s="8"/>
      <c r="M18" s="8"/>
      <c r="N18" s="14">
        <f>$N$17*Parameters!E15</f>
        <v>1622071635.1122582</v>
      </c>
      <c r="O18" s="8"/>
      <c r="P18" s="8"/>
      <c r="Q18" s="8"/>
      <c r="R18" s="8"/>
      <c r="S18" s="8"/>
      <c r="T18" s="8"/>
      <c r="U18" s="8"/>
      <c r="V18" s="16" cm="1">
        <f t="array" ref="V18:V27">Parameters!C15:C24</f>
        <v>3.6096393698449797E-3</v>
      </c>
      <c r="W18" s="16">
        <f>(V18*$U$17)/(Parameters!B15*POWER(Parameters!$B$8, $C$17))</f>
        <v>0.12332748806945897</v>
      </c>
      <c r="X18" s="12">
        <f>$U$17*V18</f>
        <v>117033680.8426225</v>
      </c>
      <c r="Y18" s="8">
        <f>Parameters!D15</f>
        <v>0</v>
      </c>
      <c r="Z18" s="8">
        <f>(Y18*$U$17)/(Parameters!B15*POWER(Parameters!$B$8, $C$17))</f>
        <v>0</v>
      </c>
      <c r="AA18" s="6">
        <f>$U$17*Y18</f>
        <v>0</v>
      </c>
      <c r="AB18" s="3"/>
      <c r="AC18" s="3"/>
      <c r="AD18" s="6">
        <f>Parameters!B15*POWER(Parameters!$B$8, $C$17)</f>
        <v>948966711.91995943</v>
      </c>
      <c r="AE18" s="6">
        <f>$AE$3*Parameters!E15</f>
        <v>1009026392.9853771</v>
      </c>
      <c r="AF18" s="6">
        <f>AD18+AE18-X18</f>
        <v>1840959424.0627139</v>
      </c>
      <c r="AG18" s="6">
        <f t="shared" ref="AG18:AG27" si="18">AD18+AE18-AA18</f>
        <v>1957993104.9053364</v>
      </c>
      <c r="AH18" s="8">
        <f>($AB$17+$I$17)/10</f>
        <v>337517.81</v>
      </c>
      <c r="AI18" s="6">
        <f>AF18/AH18</f>
        <v>5454.4067587506388</v>
      </c>
      <c r="AJ18" s="6"/>
      <c r="AK18" s="6">
        <f>AG18/AH18</f>
        <v>5801.1549224775317</v>
      </c>
      <c r="AL18" s="6"/>
      <c r="AM18" s="19">
        <f t="shared" ref="AM18:AM27" si="19">(POWER(AI18, -0.26) - 1)/-0.26</f>
        <v>3.4355034025582682</v>
      </c>
      <c r="AN18" s="19">
        <f>(AM18-$AM$18)*100</f>
        <v>0</v>
      </c>
      <c r="AO18" s="19">
        <f>LOG(AI18)</f>
        <v>3.7367475220349862</v>
      </c>
      <c r="AP18" s="23">
        <f>(POWER(AK18, -0.26) - 1)/-0.26</f>
        <v>3.4420314759599751</v>
      </c>
      <c r="AQ18" s="23">
        <f>(AP18-$AP$18)*100</f>
        <v>0</v>
      </c>
      <c r="AR18" s="23">
        <f>LOG(AK18)</f>
        <v>3.7635144636538942</v>
      </c>
      <c r="AT18" cm="1">
        <f t="array" ref="AT18:AT27">SQRT(AM18:AM27)</f>
        <v>1.8535111012773213</v>
      </c>
      <c r="AX18">
        <f>SQRT(AO18)</f>
        <v>1.9330668695197759</v>
      </c>
      <c r="BB18" cm="1">
        <f t="array" ref="BB18:BB27">SQRT(AP18:AP27)</f>
        <v>1.8552712674862335</v>
      </c>
      <c r="BF18">
        <f>SQRT(AR18)</f>
        <v>1.9399779544247131</v>
      </c>
    </row>
    <row r="19" spans="1:60" x14ac:dyDescent="0.2">
      <c r="A19">
        <v>2</v>
      </c>
      <c r="D19" s="6"/>
      <c r="F19" s="5"/>
      <c r="G19" s="6"/>
      <c r="H19" s="12"/>
      <c r="I19" s="8"/>
      <c r="J19" s="8"/>
      <c r="K19" s="8"/>
      <c r="L19" s="8"/>
      <c r="M19" s="8"/>
      <c r="N19" s="14">
        <f>$N$17*Parameters!E16</f>
        <v>1459864471.6010325</v>
      </c>
      <c r="O19" s="8"/>
      <c r="P19" s="8"/>
      <c r="Q19" s="8"/>
      <c r="R19" s="8"/>
      <c r="S19" s="8"/>
      <c r="T19" s="8"/>
      <c r="U19" s="8"/>
      <c r="V19" s="8">
        <v>1.4401036406566694E-2</v>
      </c>
      <c r="W19" s="16">
        <f>(V19*$U$17)/(Parameters!B16*POWER(Parameters!$B$8, $C$17))</f>
        <v>0.10852818950112389</v>
      </c>
      <c r="X19" s="12">
        <f t="shared" ref="X19:X27" si="20">$U$17*V19</f>
        <v>466918194.84490371</v>
      </c>
      <c r="Y19" s="8">
        <f>Parameters!D16</f>
        <v>3.4800777499171295E-3</v>
      </c>
      <c r="Z19" s="8">
        <f>(Y19*$U$17)/(Parameters!B16*POWER(Parameters!$B$8, $C$17))</f>
        <v>2.6226344192104858E-2</v>
      </c>
      <c r="AA19" s="6">
        <f t="shared" ref="AA19:AA27" si="21">$U$17*Y19</f>
        <v>112832963.89489584</v>
      </c>
      <c r="AB19" s="3"/>
      <c r="AC19" s="3"/>
      <c r="AD19" s="6">
        <f>Parameters!B16*POWER(Parameters!$B$8, $C$17)</f>
        <v>4302275722.0147715</v>
      </c>
      <c r="AE19" s="6">
        <f>$AE$3*Parameters!E16</f>
        <v>908123753.68683934</v>
      </c>
      <c r="AF19" s="6">
        <f t="shared" ref="AF19:AF27" si="22">AD19+AE19-X19</f>
        <v>4743481280.8567066</v>
      </c>
      <c r="AG19" s="6">
        <f t="shared" si="18"/>
        <v>5097566511.806715</v>
      </c>
      <c r="AH19" s="8">
        <f t="shared" ref="AH19:AH27" si="23">($AB$17+$I$17)/10</f>
        <v>337517.81</v>
      </c>
      <c r="AI19" s="6">
        <f t="shared" ref="AI19:AI27" si="24">AF19/AH19</f>
        <v>14054.017714966527</v>
      </c>
      <c r="AJ19" s="6"/>
      <c r="AK19" s="6">
        <f t="shared" ref="AK19:AK27" si="25">AG19/AH19</f>
        <v>15103.103779343423</v>
      </c>
      <c r="AL19" s="6"/>
      <c r="AM19" s="19">
        <f t="shared" si="19"/>
        <v>3.5250847370984535</v>
      </c>
      <c r="AN19" s="19">
        <f t="shared" ref="AN19:AN27" si="26">(AM19-$AM$18)*100</f>
        <v>8.9581334540185242</v>
      </c>
      <c r="AO19" s="19">
        <f t="shared" ref="AO19:AO27" si="27">LOG(AI19)</f>
        <v>4.147800496625945</v>
      </c>
      <c r="AP19" s="23">
        <f t="shared" ref="AP19:AP27" si="28">(POWER(AK19, -0.26) - 1)/-0.26</f>
        <v>3.5310385838557807</v>
      </c>
      <c r="AQ19" s="23">
        <f t="shared" ref="AQ19:AQ27" si="29">(AP19-$AP$18)*100</f>
        <v>8.9007107895805682</v>
      </c>
      <c r="AR19" s="23">
        <f t="shared" ref="AR19:AR27" si="30">LOG(AK19)</f>
        <v>4.1790662066127737</v>
      </c>
      <c r="AT19">
        <v>1.8775209019072074</v>
      </c>
      <c r="AX19">
        <f t="shared" ref="AX19:AX27" si="31">SQRT(AO19)</f>
        <v>2.0366149603265575</v>
      </c>
      <c r="BB19">
        <v>1.8791057936837352</v>
      </c>
      <c r="BF19">
        <f t="shared" ref="BF19:BF27" si="32">SQRT(AR19)</f>
        <v>2.0442764506330287</v>
      </c>
    </row>
    <row r="20" spans="1:60" x14ac:dyDescent="0.2">
      <c r="A20">
        <v>3</v>
      </c>
      <c r="D20" s="6"/>
      <c r="F20" s="5"/>
      <c r="G20" s="6"/>
      <c r="H20" s="12"/>
      <c r="I20" s="8"/>
      <c r="J20" s="8"/>
      <c r="K20" s="8"/>
      <c r="L20" s="8"/>
      <c r="M20" s="8"/>
      <c r="N20" s="14">
        <f>$N$17*Parameters!E17</f>
        <v>1297657308.0898066</v>
      </c>
      <c r="O20" s="8"/>
      <c r="P20" s="8"/>
      <c r="Q20" s="8"/>
      <c r="R20" s="8"/>
      <c r="S20" s="8"/>
      <c r="T20" s="8"/>
      <c r="U20" s="8"/>
      <c r="V20" s="8">
        <v>3.1399077404942015E-2</v>
      </c>
      <c r="W20" s="16">
        <f>(V20*$U$17)/(Parameters!B17*POWER(Parameters!$B$8, $C$17))</f>
        <v>0.11346128902390223</v>
      </c>
      <c r="X20" s="12">
        <f t="shared" si="20"/>
        <v>1018037877.8173066</v>
      </c>
      <c r="Y20" s="8">
        <f>Parameters!D17</f>
        <v>1.0886748490444263E-2</v>
      </c>
      <c r="Z20" s="8">
        <f>(Y20*$U$17)/(Parameters!B17*POWER(Parameters!$B$8, $C$17))</f>
        <v>3.9339516288157288E-2</v>
      </c>
      <c r="AA20" s="6">
        <f t="shared" si="21"/>
        <v>352976050.43001139</v>
      </c>
      <c r="AB20" s="3"/>
      <c r="AC20" s="3"/>
      <c r="AD20" s="6">
        <f>Parameters!B17*POWER(Parameters!$B$8, $C$17)</f>
        <v>8972556953.789257</v>
      </c>
      <c r="AE20" s="6">
        <f>$AE$3*Parameters!E17</f>
        <v>807221114.38830161</v>
      </c>
      <c r="AF20" s="6">
        <f t="shared" si="22"/>
        <v>8761740190.3602524</v>
      </c>
      <c r="AG20" s="6">
        <f t="shared" si="18"/>
        <v>9426802017.7475471</v>
      </c>
      <c r="AH20" s="8">
        <f t="shared" si="23"/>
        <v>337517.81</v>
      </c>
      <c r="AI20" s="6">
        <f t="shared" si="24"/>
        <v>25959.341791060604</v>
      </c>
      <c r="AJ20" s="6"/>
      <c r="AK20" s="6">
        <f t="shared" si="25"/>
        <v>27929.791372335425</v>
      </c>
      <c r="AL20" s="6"/>
      <c r="AM20" s="19">
        <f t="shared" si="19"/>
        <v>3.572431473328761</v>
      </c>
      <c r="AN20" s="19">
        <f t="shared" si="26"/>
        <v>13.692807077049274</v>
      </c>
      <c r="AO20" s="19">
        <f t="shared" si="27"/>
        <v>4.4142936765669187</v>
      </c>
      <c r="AP20" s="23">
        <f t="shared" si="28"/>
        <v>3.5775890697523849</v>
      </c>
      <c r="AQ20" s="23">
        <f t="shared" si="29"/>
        <v>13.555759379240984</v>
      </c>
      <c r="AR20" s="23">
        <f t="shared" si="30"/>
        <v>4.4460676916558244</v>
      </c>
      <c r="AT20">
        <v>1.8900876893225778</v>
      </c>
      <c r="AX20">
        <f t="shared" si="31"/>
        <v>2.101022055230958</v>
      </c>
      <c r="BB20">
        <v>1.8914515774273433</v>
      </c>
      <c r="BF20">
        <f t="shared" si="32"/>
        <v>2.1085700585125986</v>
      </c>
    </row>
    <row r="21" spans="1:60" x14ac:dyDescent="0.2">
      <c r="A21">
        <v>4</v>
      </c>
      <c r="D21" s="6"/>
      <c r="F21" s="5"/>
      <c r="G21" s="6"/>
      <c r="H21" s="6"/>
      <c r="I21" s="8"/>
      <c r="J21" s="8"/>
      <c r="K21" s="8"/>
      <c r="L21" s="8"/>
      <c r="M21" s="8"/>
      <c r="N21" s="14">
        <f>$N$17*Parameters!E18</f>
        <v>1135450144.5785806</v>
      </c>
      <c r="O21" s="8"/>
      <c r="P21" s="8"/>
      <c r="Q21" s="8"/>
      <c r="R21" s="8"/>
      <c r="S21" s="8"/>
      <c r="T21" s="8"/>
      <c r="U21" s="8"/>
      <c r="V21" s="8">
        <v>5.1692242898110294E-2</v>
      </c>
      <c r="W21" s="16">
        <f>(V21*$U$17)/(Parameters!B18*POWER(Parameters!$B$8, $C$17))</f>
        <v>0.11839438854668059</v>
      </c>
      <c r="X21" s="12">
        <f t="shared" si="20"/>
        <v>1675993870.1678591</v>
      </c>
      <c r="Y21" s="8">
        <f>Parameters!D18</f>
        <v>2.2901398806974758E-2</v>
      </c>
      <c r="Z21" s="8">
        <f>(Y21*$U$17)/(Parameters!B18*POWER(Parameters!$B$8, $C$17))</f>
        <v>5.2452688384209717E-2</v>
      </c>
      <c r="AA21" s="6">
        <f t="shared" si="21"/>
        <v>742521544.17858243</v>
      </c>
      <c r="AB21" s="3"/>
      <c r="AC21" s="3"/>
      <c r="AD21" s="6">
        <f>Parameters!B18*POWER(Parameters!$B$8, $C$17)</f>
        <v>14156024544.246431</v>
      </c>
      <c r="AE21" s="6">
        <f>$AE$3*Parameters!E18</f>
        <v>706318475.08976388</v>
      </c>
      <c r="AF21" s="6">
        <f t="shared" si="22"/>
        <v>13186349149.168335</v>
      </c>
      <c r="AG21" s="6">
        <f t="shared" si="18"/>
        <v>14119821475.157612</v>
      </c>
      <c r="AH21" s="8">
        <f t="shared" si="23"/>
        <v>337517.81</v>
      </c>
      <c r="AI21" s="6">
        <f t="shared" si="24"/>
        <v>39068.602481061178</v>
      </c>
      <c r="AJ21" s="6"/>
      <c r="AK21" s="6">
        <f t="shared" si="25"/>
        <v>41834.300463011452</v>
      </c>
      <c r="AL21" s="6"/>
      <c r="AM21" s="19">
        <f t="shared" si="19"/>
        <v>3.6000312972110602</v>
      </c>
      <c r="AN21" s="19">
        <f t="shared" si="26"/>
        <v>16.452789465279196</v>
      </c>
      <c r="AO21" s="19">
        <f t="shared" si="27"/>
        <v>4.5918278763996332</v>
      </c>
      <c r="AP21" s="23">
        <f t="shared" si="28"/>
        <v>3.604369489314367</v>
      </c>
      <c r="AQ21" s="23">
        <f t="shared" si="29"/>
        <v>16.233801335439189</v>
      </c>
      <c r="AR21" s="23">
        <f t="shared" si="30"/>
        <v>4.6215325112781303</v>
      </c>
      <c r="AT21">
        <v>1.8973748436223825</v>
      </c>
      <c r="AX21">
        <f t="shared" si="31"/>
        <v>2.1428550759208225</v>
      </c>
      <c r="BB21">
        <v>1.8985177084542475</v>
      </c>
      <c r="BF21">
        <f t="shared" si="32"/>
        <v>2.1497749908486075</v>
      </c>
    </row>
    <row r="22" spans="1:60" x14ac:dyDescent="0.2">
      <c r="A22">
        <v>5</v>
      </c>
      <c r="D22" s="6"/>
      <c r="E22" s="5"/>
      <c r="F22" s="6"/>
      <c r="G22" s="6"/>
      <c r="H22" s="12"/>
      <c r="I22" s="8"/>
      <c r="J22" s="8"/>
      <c r="K22" s="6"/>
      <c r="L22" s="6"/>
      <c r="M22" s="6"/>
      <c r="N22" s="14">
        <f>$N$17*Parameters!E19</f>
        <v>973242981.06735492</v>
      </c>
      <c r="O22" s="6"/>
      <c r="P22" s="6"/>
      <c r="Q22" s="6"/>
      <c r="R22" s="6"/>
      <c r="S22" s="6"/>
      <c r="T22" s="6"/>
      <c r="U22" s="6"/>
      <c r="V22" s="8">
        <v>7.0583126136746943E-2</v>
      </c>
      <c r="W22" s="16">
        <f>(V22*$U$17)/(Parameters!B19*POWER(Parameters!$B$8, $C$17))</f>
        <v>0.12332748806945898</v>
      </c>
      <c r="X22" s="12">
        <f t="shared" si="20"/>
        <v>2288484308.4802041</v>
      </c>
      <c r="Y22" s="8">
        <f>Parameters!D19</f>
        <v>3.7524833052111288E-2</v>
      </c>
      <c r="Z22" s="8">
        <f>(Y22*$U$17)/(Parameters!B19*POWER(Parameters!$B$8, $C$17))</f>
        <v>6.5565860480262139E-2</v>
      </c>
      <c r="AA22" s="6">
        <f t="shared" si="21"/>
        <v>1216650442.0861549</v>
      </c>
      <c r="AB22" s="3"/>
      <c r="AC22" s="3"/>
      <c r="AD22" s="6">
        <f>Parameters!B19*POWER(Parameters!$B$8, $C$17)</f>
        <v>18556157627.984058</v>
      </c>
      <c r="AE22" s="6"/>
      <c r="AF22" s="6">
        <f t="shared" si="22"/>
        <v>16267673319.503855</v>
      </c>
      <c r="AG22" s="6">
        <f t="shared" si="18"/>
        <v>17339507185.897903</v>
      </c>
      <c r="AH22" s="8">
        <f t="shared" si="23"/>
        <v>337517.81</v>
      </c>
      <c r="AI22" s="6">
        <f t="shared" si="24"/>
        <v>48197.970114536634</v>
      </c>
      <c r="AJ22" s="6"/>
      <c r="AK22" s="6">
        <f t="shared" si="25"/>
        <v>51373.606583598965</v>
      </c>
      <c r="AL22" s="6"/>
      <c r="AM22" s="19">
        <f t="shared" si="19"/>
        <v>3.6131091745620809</v>
      </c>
      <c r="AN22" s="19">
        <f t="shared" si="26"/>
        <v>17.760577200381267</v>
      </c>
      <c r="AO22" s="19">
        <f t="shared" si="27"/>
        <v>4.6830287480600266</v>
      </c>
      <c r="AP22" s="23">
        <f t="shared" si="28"/>
        <v>3.6169434891566596</v>
      </c>
      <c r="AQ22" s="23">
        <f t="shared" si="29"/>
        <v>17.491201319668459</v>
      </c>
      <c r="AR22" s="23">
        <f t="shared" si="30"/>
        <v>4.7107400555895129</v>
      </c>
      <c r="AT22">
        <v>1.9008180277349225</v>
      </c>
      <c r="AX22">
        <f t="shared" si="31"/>
        <v>2.1640306717003868</v>
      </c>
      <c r="BB22">
        <v>1.9018263562051767</v>
      </c>
      <c r="BF22">
        <f t="shared" si="32"/>
        <v>2.1704239345320335</v>
      </c>
    </row>
    <row r="23" spans="1:60" x14ac:dyDescent="0.2">
      <c r="A23">
        <v>6</v>
      </c>
      <c r="N23" s="14">
        <f>$N$17*Parameters!E20</f>
        <v>811035817.5561291</v>
      </c>
      <c r="O23" s="8"/>
      <c r="P23" s="8"/>
      <c r="Q23" s="8"/>
      <c r="R23" s="8"/>
      <c r="S23" s="8"/>
      <c r="T23" s="8"/>
      <c r="U23" s="8"/>
      <c r="V23" s="8">
        <v>9.0905110853151228E-2</v>
      </c>
      <c r="W23" s="16">
        <f>(V23*$U$17)/(Parameters!B20*POWER(Parameters!$B$8, $C$17))</f>
        <v>0.1331936871150157</v>
      </c>
      <c r="X23" s="12">
        <f t="shared" si="20"/>
        <v>2947374693.2807369</v>
      </c>
      <c r="Y23" s="8">
        <f>Parameters!D20</f>
        <v>5.3698687476024153E-2</v>
      </c>
      <c r="Z23" s="8">
        <f>(Y23*$U$17)/(Parameters!B20*POWER(Parameters!$B$8, $C$17))</f>
        <v>7.8679032576314575E-2</v>
      </c>
      <c r="AA23" s="6">
        <f t="shared" si="21"/>
        <v>1741047901.9699516</v>
      </c>
      <c r="AB23" s="3"/>
      <c r="AC23" s="3"/>
      <c r="AD23" s="6">
        <f>Parameters!B20*POWER(Parameters!$B$8, $C$17)</f>
        <v>22128486395.422131</v>
      </c>
      <c r="AE23" s="6"/>
      <c r="AF23" s="6">
        <f t="shared" si="22"/>
        <v>19181111702.141396</v>
      </c>
      <c r="AG23" s="6">
        <f t="shared" si="18"/>
        <v>20387438493.452179</v>
      </c>
      <c r="AH23" s="8">
        <f t="shared" si="23"/>
        <v>337517.81</v>
      </c>
      <c r="AI23" s="6">
        <f t="shared" si="24"/>
        <v>56829.924625729815</v>
      </c>
      <c r="AJ23" s="6"/>
      <c r="AK23" s="6">
        <f t="shared" si="25"/>
        <v>60404.037622347038</v>
      </c>
      <c r="AL23" s="6"/>
      <c r="AM23" s="19">
        <f t="shared" si="19"/>
        <v>3.622880638753692</v>
      </c>
      <c r="AN23" s="19">
        <f t="shared" si="26"/>
        <v>18.737723619542379</v>
      </c>
      <c r="AO23" s="19">
        <f t="shared" si="27"/>
        <v>4.7545770800346769</v>
      </c>
      <c r="AP23" s="23">
        <f t="shared" si="28"/>
        <v>3.626393414230717</v>
      </c>
      <c r="AQ23" s="23">
        <f t="shared" si="29"/>
        <v>18.436193827074199</v>
      </c>
      <c r="AR23" s="23">
        <f t="shared" si="30"/>
        <v>4.7810659693909718</v>
      </c>
      <c r="AT23">
        <v>1.9033866235617218</v>
      </c>
      <c r="AX23">
        <f t="shared" si="31"/>
        <v>2.1804992731103296</v>
      </c>
      <c r="BB23">
        <v>1.9043091698121701</v>
      </c>
      <c r="BF23">
        <f t="shared" si="32"/>
        <v>2.1865648788432899</v>
      </c>
    </row>
    <row r="24" spans="1:60" x14ac:dyDescent="0.2">
      <c r="A24">
        <v>7</v>
      </c>
      <c r="N24" s="14">
        <f>$N$17*Parameters!E21</f>
        <v>648828654.04490328</v>
      </c>
      <c r="V24" s="8">
        <v>0.11035602414482847</v>
      </c>
      <c r="W24" s="16">
        <f>(V24*$U$17)/(Parameters!B21*POWER(Parameters!$B$8, $C$17))</f>
        <v>0.13812678663779407</v>
      </c>
      <c r="X24" s="12">
        <f t="shared" si="20"/>
        <v>3578022729.0077634</v>
      </c>
      <c r="Y24" s="8">
        <f>Parameters!D21</f>
        <v>8.3813868210341438E-2</v>
      </c>
      <c r="Z24" s="8">
        <f>(Y24*$U$17)/(Parameters!B21*POWER(Parameters!$B$8, $C$17))</f>
        <v>0.10490537676841945</v>
      </c>
      <c r="AA24" s="6">
        <f t="shared" si="21"/>
        <v>2717458587.2094989</v>
      </c>
      <c r="AD24" s="6">
        <f>Parameters!B21*POWER(Parameters!$B$8, $C$17)</f>
        <v>25903901886.824532</v>
      </c>
      <c r="AE24" s="6"/>
      <c r="AF24" s="6">
        <f t="shared" si="22"/>
        <v>22325879157.816769</v>
      </c>
      <c r="AG24" s="6">
        <f t="shared" si="18"/>
        <v>23186443299.615032</v>
      </c>
      <c r="AH24" s="8">
        <f t="shared" si="23"/>
        <v>337517.81</v>
      </c>
      <c r="AI24" s="6">
        <f t="shared" si="24"/>
        <v>66147.262444659646</v>
      </c>
      <c r="AJ24" s="6"/>
      <c r="AK24" s="6">
        <f t="shared" si="25"/>
        <v>68696.947576233186</v>
      </c>
      <c r="AL24" s="6"/>
      <c r="AM24" s="19">
        <f t="shared" si="19"/>
        <v>3.6315222948989008</v>
      </c>
      <c r="AN24" s="19">
        <f t="shared" si="26"/>
        <v>19.60188923406325</v>
      </c>
      <c r="AO24" s="19">
        <f t="shared" si="27"/>
        <v>4.8205118752842191</v>
      </c>
      <c r="AP24" s="23">
        <f t="shared" si="28"/>
        <v>3.6336225369409307</v>
      </c>
      <c r="AQ24" s="23">
        <f t="shared" si="29"/>
        <v>19.15910609809557</v>
      </c>
      <c r="AR24" s="23">
        <f t="shared" si="30"/>
        <v>4.8369374404038101</v>
      </c>
      <c r="AT24">
        <v>1.9056553452549863</v>
      </c>
      <c r="AX24">
        <f t="shared" si="31"/>
        <v>2.1955664133166684</v>
      </c>
      <c r="BB24">
        <v>1.9062063206644055</v>
      </c>
      <c r="BF24">
        <f t="shared" si="32"/>
        <v>2.1993038535872689</v>
      </c>
    </row>
    <row r="25" spans="1:60" x14ac:dyDescent="0.2">
      <c r="A25">
        <v>8</v>
      </c>
      <c r="N25" s="14">
        <f>$N$17*Parameters!E22</f>
        <v>486621490.53367746</v>
      </c>
      <c r="V25" s="8">
        <v>0.13623161609900061</v>
      </c>
      <c r="W25" s="16">
        <f>(V25*$U$17)/(Parameters!B22*POWER(Parameters!$B$8, $C$17))</f>
        <v>0.14305988616057239</v>
      </c>
      <c r="X25" s="12">
        <f t="shared" si="20"/>
        <v>4416975172.7552309</v>
      </c>
      <c r="Y25" s="8">
        <f>Parameters!D22</f>
        <v>0.13736006243615159</v>
      </c>
      <c r="Z25" s="8">
        <f>(Y25*$U$17)/(Parameters!B22*POWER(Parameters!$B$8, $C$17))</f>
        <v>0.14424489305657676</v>
      </c>
      <c r="AA25" s="6">
        <f t="shared" si="21"/>
        <v>4453562270.5061693</v>
      </c>
      <c r="AD25" s="6">
        <f>Parameters!B22*POWER(Parameters!$B$8, $C$17)</f>
        <v>30875008301.052029</v>
      </c>
      <c r="AE25" s="6"/>
      <c r="AF25" s="6">
        <f t="shared" si="22"/>
        <v>26458033128.296799</v>
      </c>
      <c r="AG25" s="6">
        <f t="shared" si="18"/>
        <v>26421446030.54586</v>
      </c>
      <c r="AH25" s="8">
        <f t="shared" si="23"/>
        <v>337517.81</v>
      </c>
      <c r="AI25" s="6">
        <f t="shared" si="24"/>
        <v>78390.035560780627</v>
      </c>
      <c r="AJ25" s="6"/>
      <c r="AK25" s="6">
        <f t="shared" si="25"/>
        <v>78281.635065556577</v>
      </c>
      <c r="AL25" s="6"/>
      <c r="AM25" s="19">
        <f t="shared" si="19"/>
        <v>3.6407924406298404</v>
      </c>
      <c r="AN25" s="19">
        <f t="shared" si="26"/>
        <v>20.528903807157217</v>
      </c>
      <c r="AO25" s="19">
        <f t="shared" si="27"/>
        <v>4.8942608614599656</v>
      </c>
      <c r="AP25" s="23">
        <f t="shared" si="28"/>
        <v>3.6407185411874061</v>
      </c>
      <c r="AQ25" s="23">
        <f t="shared" si="29"/>
        <v>19.868706522743107</v>
      </c>
      <c r="AR25" s="23">
        <f t="shared" si="30"/>
        <v>4.8936598881731479</v>
      </c>
      <c r="AT25">
        <v>1.9080860674062479</v>
      </c>
      <c r="AX25">
        <f t="shared" si="31"/>
        <v>2.2122976430534762</v>
      </c>
      <c r="BB25">
        <v>1.9080667024995237</v>
      </c>
      <c r="BF25">
        <f t="shared" si="32"/>
        <v>2.2121618132887901</v>
      </c>
    </row>
    <row r="26" spans="1:60" x14ac:dyDescent="0.2">
      <c r="A26">
        <v>9</v>
      </c>
      <c r="N26" s="14">
        <f>$N$17*Parameters!E23</f>
        <v>324414327.02245164</v>
      </c>
      <c r="V26" s="8">
        <v>0.17539672338276532</v>
      </c>
      <c r="W26" s="16">
        <f>(V26*$U$17)/(Parameters!B23*POWER(Parameters!$B$8, $C$17))</f>
        <v>0.14799298568335076</v>
      </c>
      <c r="X26" s="12">
        <f t="shared" si="20"/>
        <v>5686807473.5404577</v>
      </c>
      <c r="Y26" s="8">
        <f>Parameters!D23</f>
        <v>0.21757858127224192</v>
      </c>
      <c r="Z26" s="8">
        <f>(Y26*$U$17)/(Parameters!B23*POWER(Parameters!$B$8, $C$17))</f>
        <v>0.183584409344734</v>
      </c>
      <c r="AA26" s="6">
        <f t="shared" si="21"/>
        <v>7054450494.842576</v>
      </c>
      <c r="AD26" s="6">
        <f>Parameters!B23*POWER(Parameters!$B$8, $C$17)</f>
        <v>38426195993.559341</v>
      </c>
      <c r="AE26" s="6"/>
      <c r="AF26" s="6">
        <f t="shared" si="22"/>
        <v>32739388520.018883</v>
      </c>
      <c r="AG26" s="6">
        <f t="shared" si="18"/>
        <v>31371745498.716766</v>
      </c>
      <c r="AH26" s="8">
        <f t="shared" si="23"/>
        <v>337517.81</v>
      </c>
      <c r="AI26" s="6">
        <f t="shared" si="24"/>
        <v>97000.476863780554</v>
      </c>
      <c r="AJ26" s="6"/>
      <c r="AK26" s="6">
        <f t="shared" si="25"/>
        <v>92948.41507390904</v>
      </c>
      <c r="AL26" s="6"/>
      <c r="AM26" s="19">
        <f t="shared" si="19"/>
        <v>3.6518571365128043</v>
      </c>
      <c r="AN26" s="19">
        <f t="shared" si="26"/>
        <v>21.635373395453605</v>
      </c>
      <c r="AO26" s="19">
        <f t="shared" si="27"/>
        <v>4.9867738693054147</v>
      </c>
      <c r="AP26" s="23">
        <f t="shared" si="28"/>
        <v>3.649689505542109</v>
      </c>
      <c r="AQ26" s="23">
        <f t="shared" si="29"/>
        <v>20.765802958213399</v>
      </c>
      <c r="AR26" s="23">
        <f t="shared" si="30"/>
        <v>4.9682419887230438</v>
      </c>
      <c r="AT26">
        <v>1.9109832904849808</v>
      </c>
      <c r="AX26">
        <f t="shared" si="31"/>
        <v>2.233108566394705</v>
      </c>
      <c r="BB26">
        <v>1.9104160556125227</v>
      </c>
      <c r="BF26">
        <f t="shared" si="32"/>
        <v>2.2289553581718597</v>
      </c>
    </row>
    <row r="27" spans="1:60" x14ac:dyDescent="0.2">
      <c r="A27">
        <v>10</v>
      </c>
      <c r="N27" s="14">
        <f>$N$17*Parameters!E24</f>
        <v>162207163.51122582</v>
      </c>
      <c r="V27" s="8">
        <v>0.31542540330404345</v>
      </c>
      <c r="W27" s="16">
        <f>(V27*$U$17)/(Parameters!B24*POWER(Parameters!$B$8, $C$17))</f>
        <v>0.1529260852061291</v>
      </c>
      <c r="X27" s="12">
        <f t="shared" si="20"/>
        <v>10226893104.151365</v>
      </c>
      <c r="Y27" s="8">
        <f>Parameters!D24</f>
        <v>0.43275574250579357</v>
      </c>
      <c r="Z27" s="8">
        <f>(Y27*$U$17)/(Parameters!B24*POWER(Parameters!$B$8, $C$17))</f>
        <v>0.2098107535368389</v>
      </c>
      <c r="AA27" s="6">
        <f t="shared" si="21"/>
        <v>14031040849.770615</v>
      </c>
      <c r="AD27" s="6">
        <f>Parameters!B24*POWER(Parameters!$B$8, $C$17)</f>
        <v>66874745994.880684</v>
      </c>
      <c r="AE27" s="6"/>
      <c r="AF27" s="6">
        <f t="shared" si="22"/>
        <v>56647852890.729317</v>
      </c>
      <c r="AG27" s="6">
        <f t="shared" si="18"/>
        <v>52843705145.110069</v>
      </c>
      <c r="AH27" s="8">
        <f t="shared" si="23"/>
        <v>337517.81</v>
      </c>
      <c r="AI27" s="6">
        <f t="shared" si="24"/>
        <v>167836.63324530731</v>
      </c>
      <c r="AJ27" s="6"/>
      <c r="AK27" s="6">
        <f t="shared" si="25"/>
        <v>156565.6791418209</v>
      </c>
      <c r="AL27" s="6"/>
      <c r="AM27" s="19">
        <f t="shared" si="19"/>
        <v>3.6776708431577059</v>
      </c>
      <c r="AN27" s="19">
        <f t="shared" si="26"/>
        <v>24.216744059943764</v>
      </c>
      <c r="AO27" s="19">
        <f t="shared" si="27"/>
        <v>5.2248867591141979</v>
      </c>
      <c r="AP27" s="23">
        <f t="shared" si="28"/>
        <v>3.6745979910700961</v>
      </c>
      <c r="AQ27" s="23">
        <f t="shared" si="29"/>
        <v>23.256651511012105</v>
      </c>
      <c r="AR27" s="23">
        <f t="shared" si="30"/>
        <v>5.1946965661963276</v>
      </c>
      <c r="AT27">
        <v>1.9177254347684149</v>
      </c>
      <c r="AX27">
        <f t="shared" si="31"/>
        <v>2.2858011197639652</v>
      </c>
      <c r="BB27">
        <v>1.9169240963246552</v>
      </c>
      <c r="BF27">
        <f t="shared" si="32"/>
        <v>2.2791876987638222</v>
      </c>
    </row>
    <row r="29" spans="1:60" x14ac:dyDescent="0.2">
      <c r="A29" s="2" t="s">
        <v>90</v>
      </c>
      <c r="B29" s="51" t="s">
        <v>39</v>
      </c>
      <c r="C29" s="51"/>
      <c r="D29" s="51" t="s">
        <v>47</v>
      </c>
      <c r="E29" s="51"/>
      <c r="F29" s="51"/>
      <c r="G29" s="51"/>
      <c r="H29" s="52"/>
      <c r="I29" s="51"/>
      <c r="J29" s="51"/>
      <c r="K29" s="51"/>
      <c r="L29" s="51"/>
      <c r="M29" s="51"/>
      <c r="N29" s="51"/>
      <c r="O29" s="15"/>
      <c r="P29" s="15"/>
      <c r="Q29" s="15"/>
      <c r="R29" s="15"/>
      <c r="S29" s="15"/>
      <c r="T29" s="15"/>
      <c r="U29" s="15"/>
      <c r="V29" s="51" t="s">
        <v>157</v>
      </c>
      <c r="W29" s="51"/>
      <c r="X29" s="51"/>
      <c r="Y29" s="51" t="s">
        <v>159</v>
      </c>
      <c r="Z29" s="51"/>
      <c r="AA29" s="51"/>
      <c r="AB29" s="51" t="s">
        <v>91</v>
      </c>
      <c r="AC29" s="51"/>
      <c r="AD29" s="51" t="s">
        <v>48</v>
      </c>
      <c r="AE29" s="51"/>
      <c r="AF29" s="2" t="s">
        <v>211</v>
      </c>
      <c r="AG29" s="15" t="s">
        <v>204</v>
      </c>
      <c r="AH29" s="2" t="s">
        <v>92</v>
      </c>
      <c r="AI29" s="39" t="s">
        <v>184</v>
      </c>
      <c r="AJ29" s="2"/>
      <c r="AK29" s="15" t="s">
        <v>93</v>
      </c>
      <c r="AL29" s="15"/>
      <c r="AM29" s="51" t="s">
        <v>205</v>
      </c>
      <c r="AN29" s="51"/>
      <c r="AO29" s="51"/>
      <c r="AP29" s="51" t="s">
        <v>213</v>
      </c>
      <c r="AQ29" s="51"/>
      <c r="AR29" s="51"/>
      <c r="AS29" s="51" t="s">
        <v>214</v>
      </c>
      <c r="AT29" s="51"/>
      <c r="AU29" s="51"/>
      <c r="AV29" s="51"/>
      <c r="AW29" s="51" t="s">
        <v>216</v>
      </c>
      <c r="AX29" s="51"/>
      <c r="AY29" s="51"/>
      <c r="AZ29" s="51"/>
      <c r="BA29" s="51" t="s">
        <v>217</v>
      </c>
      <c r="BB29" s="51"/>
      <c r="BC29" s="51"/>
      <c r="BD29" s="51"/>
      <c r="BE29" s="51" t="s">
        <v>218</v>
      </c>
      <c r="BF29" s="51"/>
      <c r="BG29" s="51"/>
      <c r="BH29" s="51"/>
    </row>
    <row r="30" spans="1:60" x14ac:dyDescent="0.2">
      <c r="A30" s="9"/>
      <c r="B30" s="9" t="s">
        <v>39</v>
      </c>
      <c r="C30" s="9" t="s">
        <v>52</v>
      </c>
      <c r="D30" s="9" t="s">
        <v>53</v>
      </c>
      <c r="E30" s="9" t="s">
        <v>54</v>
      </c>
      <c r="F30" s="9" t="s">
        <v>55</v>
      </c>
      <c r="G30" s="9" t="s">
        <v>56</v>
      </c>
      <c r="H30" s="11" t="s">
        <v>57</v>
      </c>
      <c r="I30" s="9" t="s">
        <v>94</v>
      </c>
      <c r="J30" s="9" t="s">
        <v>59</v>
      </c>
      <c r="K30" s="9" t="s">
        <v>60</v>
      </c>
      <c r="L30" s="9" t="s">
        <v>61</v>
      </c>
      <c r="M30" s="9" t="s">
        <v>62</v>
      </c>
      <c r="N30" s="11" t="s">
        <v>95</v>
      </c>
      <c r="O30" s="9" t="s">
        <v>58</v>
      </c>
      <c r="P30" s="9" t="s">
        <v>59</v>
      </c>
      <c r="Q30" s="9" t="s">
        <v>60</v>
      </c>
      <c r="R30" s="9" t="s">
        <v>61</v>
      </c>
      <c r="S30" s="9" t="s">
        <v>62</v>
      </c>
      <c r="T30" s="11" t="s">
        <v>63</v>
      </c>
      <c r="U30" s="9" t="s">
        <v>96</v>
      </c>
      <c r="V30" s="9" t="s">
        <v>64</v>
      </c>
      <c r="W30" s="9" t="s">
        <v>97</v>
      </c>
      <c r="X30" s="11" t="s">
        <v>66</v>
      </c>
      <c r="Y30" s="9" t="s">
        <v>64</v>
      </c>
      <c r="Z30" s="9" t="s">
        <v>97</v>
      </c>
      <c r="AA30" s="9" t="s">
        <v>66</v>
      </c>
      <c r="AB30" s="9" t="s">
        <v>98</v>
      </c>
      <c r="AC30" s="9" t="s">
        <v>99</v>
      </c>
      <c r="AD30" s="9" t="s">
        <v>100</v>
      </c>
      <c r="AE30" s="9" t="s">
        <v>68</v>
      </c>
      <c r="AF30" s="9" t="s">
        <v>101</v>
      </c>
      <c r="AG30" s="9" t="s">
        <v>101</v>
      </c>
      <c r="AH30" s="9"/>
      <c r="AI30" s="9"/>
      <c r="AJ30" s="9"/>
      <c r="AK30" s="9"/>
      <c r="AL30" s="9"/>
      <c r="AM30" s="9" t="s">
        <v>212</v>
      </c>
      <c r="AN30" s="9" t="s">
        <v>139</v>
      </c>
      <c r="AO30" s="9" t="s">
        <v>250</v>
      </c>
      <c r="AP30" s="9" t="s">
        <v>212</v>
      </c>
      <c r="AQ30" s="9" t="s">
        <v>139</v>
      </c>
      <c r="AR30" s="9" t="s">
        <v>250</v>
      </c>
      <c r="AS30" s="17" t="s">
        <v>49</v>
      </c>
      <c r="AT30" s="9" t="s">
        <v>72</v>
      </c>
      <c r="AU30" s="9" t="s">
        <v>50</v>
      </c>
      <c r="AV30" s="9" t="s">
        <v>51</v>
      </c>
      <c r="AW30" s="17" t="s">
        <v>49</v>
      </c>
      <c r="AX30" s="9" t="s">
        <v>72</v>
      </c>
      <c r="AY30" s="9" t="s">
        <v>50</v>
      </c>
      <c r="AZ30" s="9" t="s">
        <v>51</v>
      </c>
      <c r="BA30" s="9" t="s">
        <v>49</v>
      </c>
      <c r="BB30" s="9" t="s">
        <v>72</v>
      </c>
      <c r="BC30" s="9" t="s">
        <v>50</v>
      </c>
      <c r="BD30" s="9" t="s">
        <v>51</v>
      </c>
      <c r="BE30" s="9" t="s">
        <v>49</v>
      </c>
      <c r="BF30" s="9" t="s">
        <v>72</v>
      </c>
      <c r="BG30" s="9" t="s">
        <v>50</v>
      </c>
      <c r="BH30" s="9" t="s">
        <v>51</v>
      </c>
    </row>
    <row r="31" spans="1:60" x14ac:dyDescent="0.2">
      <c r="A31" t="s">
        <v>77</v>
      </c>
      <c r="B31">
        <v>2078</v>
      </c>
      <c r="C31">
        <v>54</v>
      </c>
      <c r="D31" s="6">
        <f>Parameters!$B$4</f>
        <v>27012.440000000002</v>
      </c>
      <c r="E31">
        <f>Parameters!$B$5</f>
        <v>20778.68</v>
      </c>
      <c r="F31" s="5">
        <f>Parameters!$B$8</f>
        <v>1.01088</v>
      </c>
      <c r="G31" s="6">
        <f>D31*POWER(F31,C31)</f>
        <v>48455.429049392646</v>
      </c>
      <c r="H31" s="12">
        <f>E31*POWER(F31,C31)</f>
        <v>37273.19170278708</v>
      </c>
      <c r="I31" s="8">
        <f>Parameters!$B$3*Parameters!B42</f>
        <v>557660.4</v>
      </c>
      <c r="J31" s="8">
        <f>I31*Parameters!$B$10</f>
        <v>234217.36799999999</v>
      </c>
      <c r="K31" s="8">
        <f>I31*Parameters!$B$9</f>
        <v>323443.03200000001</v>
      </c>
      <c r="L31" s="8">
        <f>J31*G31</f>
        <v>11349103057.259487</v>
      </c>
      <c r="M31" s="8">
        <f>K31*H31</f>
        <v>12055754136.666697</v>
      </c>
      <c r="N31" s="14">
        <f>M31+L31</f>
        <v>23404857193.926186</v>
      </c>
      <c r="O31" s="8">
        <f>Parameters!B42</f>
        <v>2239600</v>
      </c>
      <c r="P31" s="8">
        <f>O31*Parameters!$B$10</f>
        <v>940632</v>
      </c>
      <c r="Q31" s="8">
        <f>O31*Parameters!$B$9</f>
        <v>1298968</v>
      </c>
      <c r="R31" s="8">
        <f>P31*G31</f>
        <v>45578727137.588303</v>
      </c>
      <c r="S31" s="8">
        <f>Q31*H31</f>
        <v>48416683279.785927</v>
      </c>
      <c r="T31" s="14">
        <f>S31+R31</f>
        <v>93995410417.374237</v>
      </c>
      <c r="U31" s="8">
        <f>T31-SUM(N36:N41)</f>
        <v>85059010397.875153</v>
      </c>
      <c r="AA31" s="6">
        <f>SUM(AA32:AA41)</f>
        <v>85059010397.875153</v>
      </c>
      <c r="AB31" s="3">
        <f>Parameters!C42*Parameters!B2</f>
        <v>3564796.4</v>
      </c>
      <c r="AC31" s="3">
        <f>AB31+I31</f>
        <v>4122456.8</v>
      </c>
      <c r="AD31" s="6">
        <f>SUM(AD32:AD41)</f>
        <v>348713038915.21021</v>
      </c>
      <c r="AE31" s="6">
        <f>N31</f>
        <v>23404857193.926186</v>
      </c>
      <c r="AF31" s="6">
        <f>AD31+AE31-X31</f>
        <v>372117896109.13641</v>
      </c>
      <c r="AG31" s="6">
        <f>AD31+AE31-AA31</f>
        <v>287058885711.26123</v>
      </c>
      <c r="AH31" s="6"/>
      <c r="AI31" s="6"/>
      <c r="AJ31" s="6"/>
      <c r="AK31" s="6"/>
      <c r="AL31" s="6"/>
      <c r="AS31" s="18">
        <f>SUM(AN32:AN41)</f>
        <v>179.45515552966557</v>
      </c>
      <c r="AU31">
        <f>SUM(AT32:AT41)</f>
        <v>19.012674905364893</v>
      </c>
      <c r="AV31" s="8">
        <f>MIN(AM33:AM41)</f>
        <v>3.560610501158632</v>
      </c>
      <c r="AW31" s="16">
        <f>SUM(AO32:AO41)</f>
        <v>47.26370681388277</v>
      </c>
      <c r="AX31" s="16"/>
      <c r="AY31" s="16">
        <f>SUM(AX32:AX41)</f>
        <v>21.728073073365</v>
      </c>
      <c r="AZ31" s="16">
        <f>MIN(AO33:AO41)</f>
        <v>4.3436715741452803</v>
      </c>
      <c r="BA31" s="23">
        <f>SUM(AQ32:AQ41)</f>
        <v>176.2099333327252</v>
      </c>
      <c r="BC31" s="23">
        <f>SUM(BB32:BB41)</f>
        <v>19.021353743748783</v>
      </c>
      <c r="BD31" s="23">
        <f>MIN(AP33:AP41)</f>
        <v>3.5677395660596858</v>
      </c>
      <c r="BE31" s="23">
        <f>SUM(AR32:AR41)</f>
        <v>47.463214441778597</v>
      </c>
      <c r="BG31">
        <f>SUM(BF31:BF41)</f>
        <v>21.775657201276744</v>
      </c>
      <c r="BH31" s="23">
        <f>MIN(AR33:AR41)</f>
        <v>4.3859044046280093</v>
      </c>
    </row>
    <row r="32" spans="1:60" x14ac:dyDescent="0.2">
      <c r="A32">
        <v>1</v>
      </c>
      <c r="D32" s="6"/>
      <c r="F32" s="5"/>
      <c r="G32" s="6"/>
      <c r="H32" s="12"/>
      <c r="I32" s="8"/>
      <c r="J32" s="8"/>
      <c r="K32" s="8"/>
      <c r="L32" s="8"/>
      <c r="M32" s="8"/>
      <c r="N32" s="14">
        <f>$N$31*Parameters!E15</f>
        <v>4255428580.7138519</v>
      </c>
      <c r="O32" s="8"/>
      <c r="P32" s="8"/>
      <c r="Q32" s="8"/>
      <c r="R32" s="8"/>
      <c r="S32" s="8"/>
      <c r="T32" s="8"/>
      <c r="U32" s="8"/>
      <c r="V32" s="16">
        <f>Parameters!C15</f>
        <v>3.6096393698449797E-3</v>
      </c>
      <c r="W32" s="16">
        <f>(V32*$U$31)/(Parameters!B15*POWER(Parameters!$B$8,$C$31))</f>
        <v>0.21446093817870973</v>
      </c>
      <c r="X32" s="12">
        <f>$U$31*V32</f>
        <v>307032352.69222367</v>
      </c>
      <c r="Y32" s="8">
        <f>Parameters!D15</f>
        <v>0</v>
      </c>
      <c r="Z32" s="8">
        <f>(Y32*$U$31)/(Parameters!B15*POWER(Parameters!$B$8,$C$31))</f>
        <v>0</v>
      </c>
      <c r="AA32" s="6">
        <f>$U$31*Y32</f>
        <v>0</v>
      </c>
      <c r="AB32" s="3"/>
      <c r="AC32" s="3"/>
      <c r="AD32" s="6">
        <f>Parameters!B15*POWER(Parameters!$B$8,$C$31)</f>
        <v>1431646971.7034178</v>
      </c>
      <c r="AE32" s="6">
        <f>$AE$31*Parameters!E15</f>
        <v>4255428580.7138519</v>
      </c>
      <c r="AF32" s="6">
        <f>AD32+AE32-X32</f>
        <v>5380043199.7250462</v>
      </c>
      <c r="AG32" s="6">
        <f t="shared" ref="AG32:AG41" si="33">AD32+AE32-AA32</f>
        <v>5687075552.4172697</v>
      </c>
      <c r="AH32" s="8">
        <f>($AB$31+$I$31)/10</f>
        <v>412245.68</v>
      </c>
      <c r="AI32" s="6">
        <f>AF32/AH32</f>
        <v>13050.575083588617</v>
      </c>
      <c r="AJ32" s="6"/>
      <c r="AK32" s="6">
        <f>AG32/AH32</f>
        <v>13795.355120318713</v>
      </c>
      <c r="AL32" s="6"/>
      <c r="AM32" s="19">
        <f t="shared" ref="AM32:AM41" si="34">(POWER(AI32, -0.26) - 1)/-0.26</f>
        <v>3.5188410809513369</v>
      </c>
      <c r="AN32" s="19">
        <f>(AM32-$AM$18)*100</f>
        <v>8.3337678393068604</v>
      </c>
      <c r="AO32" s="19">
        <f>LOG(AI32)</f>
        <v>4.1156296496150091</v>
      </c>
      <c r="AP32" s="23">
        <f>(POWER(AK32, -0.26) - 1)/-0.26</f>
        <v>3.5235302691305184</v>
      </c>
      <c r="AQ32" s="23">
        <f>(AP32-$AP$18)*100</f>
        <v>8.1498793170543316</v>
      </c>
      <c r="AR32" s="23">
        <f>LOG(AK32)</f>
        <v>4.1397328845766941</v>
      </c>
      <c r="AT32" cm="1">
        <f t="array" ref="AT32:AT41">SQRT(AM32:AM41)</f>
        <v>1.8758574255394083</v>
      </c>
      <c r="AX32">
        <f>SQRT(AO32)</f>
        <v>2.0287014688255662</v>
      </c>
      <c r="BB32" cm="1">
        <f t="array" ref="BB32:BB41">SQRT(AP32:AP41)</f>
        <v>1.8771068880408803</v>
      </c>
      <c r="BF32">
        <f>SQRT(AR32)</f>
        <v>2.0346333538445434</v>
      </c>
    </row>
    <row r="33" spans="1:58" x14ac:dyDescent="0.2">
      <c r="A33">
        <v>2</v>
      </c>
      <c r="D33" s="6"/>
      <c r="F33" s="5"/>
      <c r="G33" s="6"/>
      <c r="H33" s="12"/>
      <c r="I33" s="8"/>
      <c r="J33" s="8"/>
      <c r="K33" s="8"/>
      <c r="L33" s="8"/>
      <c r="M33" s="8"/>
      <c r="N33" s="14">
        <f>$N$31*Parameters!E16</f>
        <v>3829885722.6424665</v>
      </c>
      <c r="O33" s="8"/>
      <c r="P33" s="8"/>
      <c r="Q33" s="8"/>
      <c r="R33" s="8"/>
      <c r="S33" s="8"/>
      <c r="T33" s="8"/>
      <c r="U33" s="8"/>
      <c r="V33" s="16">
        <f>Parameters!C16</f>
        <v>1.4401036406566694E-2</v>
      </c>
      <c r="W33" s="16">
        <f>(V33*$U$31)/(Parameters!B16*POWER(Parameters!$B$8,$C$31))</f>
        <v>0.18872562559726455</v>
      </c>
      <c r="X33" s="12">
        <f t="shared" ref="X33:X41" si="35">$U$31*V33</f>
        <v>1224937905.4463351</v>
      </c>
      <c r="Y33" s="8">
        <f>Parameters!D16</f>
        <v>3.4800777499171295E-3</v>
      </c>
      <c r="Z33" s="8">
        <f>(Y33*$U$31)/(Parameters!B16*POWER(Parameters!$B$8,$C$31))</f>
        <v>4.5606429422034349E-2</v>
      </c>
      <c r="AA33" s="6">
        <f t="shared" ref="AA33:AA41" si="36">$U$31*Y33</f>
        <v>296011969.51561511</v>
      </c>
      <c r="AB33" s="3"/>
      <c r="AC33" s="3"/>
      <c r="AD33" s="6">
        <f>Parameters!B16*POWER(Parameters!$B$8,$C$31)</f>
        <v>6490575413.7507534</v>
      </c>
      <c r="AE33" s="6">
        <f>$AE$31*Parameters!E16</f>
        <v>3829885722.6424665</v>
      </c>
      <c r="AF33" s="6">
        <f t="shared" ref="AF33:AF41" si="37">AD33+AE33-X33</f>
        <v>9095523230.9468842</v>
      </c>
      <c r="AG33" s="6">
        <f t="shared" si="33"/>
        <v>10024449166.877604</v>
      </c>
      <c r="AH33" s="8">
        <f t="shared" ref="AH33:AH41" si="38">($AB$31+$I$31)/10</f>
        <v>412245.68</v>
      </c>
      <c r="AI33" s="6">
        <f t="shared" ref="AI33:AI41" si="39">AF33/AH33</f>
        <v>22063.356081613478</v>
      </c>
      <c r="AJ33" s="6"/>
      <c r="AK33" s="6">
        <f t="shared" ref="AK33:AK41" si="40">AG33/AH33</f>
        <v>24316.686998096873</v>
      </c>
      <c r="AL33" s="6"/>
      <c r="AM33" s="19">
        <f t="shared" si="34"/>
        <v>3.560610501158632</v>
      </c>
      <c r="AN33" s="19">
        <f t="shared" ref="AN33:AN41" si="41">(AM33-$AM$18)*100</f>
        <v>12.510709860036373</v>
      </c>
      <c r="AO33" s="19">
        <f t="shared" ref="AO33:AO41" si="42">LOG(AI33)</f>
        <v>4.3436715741452803</v>
      </c>
      <c r="AP33" s="23">
        <f t="shared" ref="AP33:AP41" si="43">(POWER(AK33, -0.26) - 1)/-0.26</f>
        <v>3.5677395660596858</v>
      </c>
      <c r="AQ33" s="23">
        <f t="shared" ref="AQ33:AQ41" si="44">(AP33-$AP$18)*100</f>
        <v>12.570809009971073</v>
      </c>
      <c r="AR33" s="23">
        <f t="shared" ref="AR33:AR41" si="45">LOG(AK33)</f>
        <v>4.3859044046280093</v>
      </c>
      <c r="AT33">
        <v>1.8869580019594057</v>
      </c>
      <c r="AX33">
        <f t="shared" ref="AX33:AX41" si="46">SQRT(AO33)</f>
        <v>2.0841476853009433</v>
      </c>
      <c r="BB33">
        <v>1.8888460937989855</v>
      </c>
      <c r="BF33">
        <f t="shared" ref="BF33:BF41" si="47">SQRT(AR33)</f>
        <v>2.0942550954045713</v>
      </c>
    </row>
    <row r="34" spans="1:58" x14ac:dyDescent="0.2">
      <c r="A34">
        <v>3</v>
      </c>
      <c r="D34" s="6"/>
      <c r="F34" s="5"/>
      <c r="G34" s="6"/>
      <c r="H34" s="12"/>
      <c r="I34" s="8"/>
      <c r="J34" s="8"/>
      <c r="K34" s="8"/>
      <c r="L34" s="8"/>
      <c r="M34" s="8"/>
      <c r="N34" s="14">
        <f>$N$31*Parameters!E17</f>
        <v>3404342864.5710812</v>
      </c>
      <c r="O34" s="8"/>
      <c r="P34" s="8"/>
      <c r="Q34" s="8"/>
      <c r="R34" s="8"/>
      <c r="S34" s="8"/>
      <c r="T34" s="8"/>
      <c r="U34" s="8"/>
      <c r="V34" s="16">
        <f>Parameters!C17</f>
        <v>3.1399077404942015E-2</v>
      </c>
      <c r="W34" s="16">
        <f>(V34*$U$31)/(Parameters!B17*POWER(Parameters!$B$8,$C$31))</f>
        <v>0.19730406312441293</v>
      </c>
      <c r="X34" s="12">
        <f t="shared" si="35"/>
        <v>2670774451.4706497</v>
      </c>
      <c r="Y34" s="8">
        <f>Parameters!D17</f>
        <v>1.0886748490444263E-2</v>
      </c>
      <c r="Z34" s="8">
        <f>(Y34*$U$31)/(Parameters!B17*POWER(Parameters!$B$8,$C$31))</f>
        <v>6.840964413305152E-2</v>
      </c>
      <c r="AA34" s="6">
        <f t="shared" si="36"/>
        <v>926016053.04775023</v>
      </c>
      <c r="AB34" s="3"/>
      <c r="AC34" s="3"/>
      <c r="AD34" s="6">
        <f>Parameters!B17*POWER(Parameters!$B$8,$C$31)</f>
        <v>13536337818.783562</v>
      </c>
      <c r="AE34" s="6">
        <f>$AE$31*Parameters!E17</f>
        <v>3404342864.5710812</v>
      </c>
      <c r="AF34" s="6">
        <f t="shared" si="37"/>
        <v>14269906231.883993</v>
      </c>
      <c r="AG34" s="6">
        <f t="shared" si="33"/>
        <v>16014664630.306892</v>
      </c>
      <c r="AH34" s="8">
        <f t="shared" si="38"/>
        <v>412245.68</v>
      </c>
      <c r="AI34" s="6">
        <f t="shared" si="39"/>
        <v>34615.05341155787</v>
      </c>
      <c r="AJ34" s="6"/>
      <c r="AK34" s="6">
        <f t="shared" si="40"/>
        <v>38847.380111556035</v>
      </c>
      <c r="AL34" s="6"/>
      <c r="AM34" s="19">
        <f t="shared" si="34"/>
        <v>3.5921631839018633</v>
      </c>
      <c r="AN34" s="19">
        <f t="shared" si="41"/>
        <v>15.665978134359504</v>
      </c>
      <c r="AO34" s="19">
        <f t="shared" si="42"/>
        <v>4.5392650060710134</v>
      </c>
      <c r="AP34" s="23">
        <f t="shared" si="43"/>
        <v>3.5996676510221364</v>
      </c>
      <c r="AQ34" s="23">
        <f t="shared" si="44"/>
        <v>15.763617506216132</v>
      </c>
      <c r="AR34" s="23">
        <f t="shared" si="45"/>
        <v>4.5893617350684499</v>
      </c>
      <c r="AT34">
        <v>1.8953002885827521</v>
      </c>
      <c r="AX34">
        <f t="shared" si="46"/>
        <v>2.130555093413689</v>
      </c>
      <c r="BB34">
        <v>1.8972790124338952</v>
      </c>
      <c r="BF34">
        <f t="shared" si="47"/>
        <v>2.1422795651054627</v>
      </c>
    </row>
    <row r="35" spans="1:58" x14ac:dyDescent="0.2">
      <c r="A35">
        <v>4</v>
      </c>
      <c r="D35" s="6"/>
      <c r="F35" s="5"/>
      <c r="G35" s="6"/>
      <c r="H35" s="6"/>
      <c r="I35" s="8"/>
      <c r="J35" s="8"/>
      <c r="K35" s="8"/>
      <c r="L35" s="8"/>
      <c r="M35" s="8"/>
      <c r="N35" s="14">
        <f>$N$31*Parameters!E18</f>
        <v>2978800006.4996963</v>
      </c>
      <c r="O35" s="8"/>
      <c r="P35" s="8"/>
      <c r="Q35" s="8"/>
      <c r="R35" s="8"/>
      <c r="S35" s="8"/>
      <c r="T35" s="8"/>
      <c r="U35" s="8"/>
      <c r="V35" s="16">
        <f>Parameters!C18</f>
        <v>5.1692242898110294E-2</v>
      </c>
      <c r="W35" s="16">
        <f>(V35*$U$31)/(Parameters!B18*POWER(Parameters!$B$8,$C$31))</f>
        <v>0.2058825006515613</v>
      </c>
      <c r="X35" s="12">
        <f t="shared" si="35"/>
        <v>4396891026.1598511</v>
      </c>
      <c r="Y35" s="8">
        <f>Parameters!D18</f>
        <v>2.2901398806974758E-2</v>
      </c>
      <c r="Z35" s="8">
        <f>(Y35*$U$31)/(Parameters!B18*POWER(Parameters!$B$8,$C$31))</f>
        <v>9.1212858844068684E-2</v>
      </c>
      <c r="AA35" s="6">
        <f t="shared" si="36"/>
        <v>1947970319.2483516</v>
      </c>
      <c r="AB35" s="3"/>
      <c r="AC35" s="3"/>
      <c r="AD35" s="6">
        <f>Parameters!B18*POWER(Parameters!$B$8,$C$31)</f>
        <v>21356312519.252022</v>
      </c>
      <c r="AE35" s="6">
        <f>$AE$31*Parameters!E18</f>
        <v>2978800006.4996963</v>
      </c>
      <c r="AF35" s="6">
        <f t="shared" si="37"/>
        <v>19938221499.591866</v>
      </c>
      <c r="AG35" s="6">
        <f t="shared" si="33"/>
        <v>22387142206.503365</v>
      </c>
      <c r="AH35" s="8">
        <f t="shared" si="38"/>
        <v>412245.68</v>
      </c>
      <c r="AI35" s="6">
        <f t="shared" si="39"/>
        <v>48364.900996880955</v>
      </c>
      <c r="AJ35" s="6"/>
      <c r="AK35" s="6">
        <f t="shared" si="40"/>
        <v>54305.340947425735</v>
      </c>
      <c r="AL35" s="6"/>
      <c r="AM35" s="19">
        <f t="shared" si="34"/>
        <v>3.6133185734085909</v>
      </c>
      <c r="AN35" s="19">
        <f t="shared" si="41"/>
        <v>17.781517085032263</v>
      </c>
      <c r="AO35" s="19">
        <f t="shared" si="42"/>
        <v>4.6845303031079721</v>
      </c>
      <c r="AP35" s="23">
        <f t="shared" si="43"/>
        <v>3.6202271297315312</v>
      </c>
      <c r="AQ35" s="23">
        <f t="shared" si="44"/>
        <v>17.819565377155612</v>
      </c>
      <c r="AR35" s="23">
        <f t="shared" si="45"/>
        <v>4.7348425446888003</v>
      </c>
      <c r="AT35">
        <v>1.9008731081817616</v>
      </c>
      <c r="AX35">
        <f t="shared" si="46"/>
        <v>2.1643775786835282</v>
      </c>
      <c r="BB35">
        <v>1.9026894464761008</v>
      </c>
      <c r="BF35">
        <f t="shared" si="47"/>
        <v>2.1759693345010174</v>
      </c>
    </row>
    <row r="36" spans="1:58" x14ac:dyDescent="0.2">
      <c r="A36">
        <v>5</v>
      </c>
      <c r="D36" s="6"/>
      <c r="E36" s="5"/>
      <c r="F36" s="6"/>
      <c r="G36" s="6"/>
      <c r="H36" s="12"/>
      <c r="I36" s="8"/>
      <c r="J36" s="8"/>
      <c r="K36" s="6"/>
      <c r="L36" s="6"/>
      <c r="M36" s="6"/>
      <c r="N36" s="14">
        <f>$N$31*Parameters!E19</f>
        <v>2553257148.4283109</v>
      </c>
      <c r="O36" s="6"/>
      <c r="P36" s="6"/>
      <c r="Q36" s="6"/>
      <c r="R36" s="6"/>
      <c r="S36" s="6"/>
      <c r="T36" s="6"/>
      <c r="U36" s="6"/>
      <c r="V36" s="16">
        <f>Parameters!C19</f>
        <v>7.0583126136746943E-2</v>
      </c>
      <c r="W36" s="16">
        <f>(V36*$U$31)/(Parameters!B19*POWER(Parameters!$B$8,$C$31))</f>
        <v>0.21446093817870973</v>
      </c>
      <c r="X36" s="12">
        <f t="shared" si="35"/>
        <v>6003730859.980092</v>
      </c>
      <c r="Y36" s="8">
        <f>Parameters!D19</f>
        <v>3.7524833052111288E-2</v>
      </c>
      <c r="Z36" s="8">
        <f>(Y36*$U$31)/(Parameters!B19*POWER(Parameters!$B$8,$C$31))</f>
        <v>0.11401607355508585</v>
      </c>
      <c r="AA36" s="6">
        <f t="shared" si="36"/>
        <v>3191825164.7580633</v>
      </c>
      <c r="AB36" s="3"/>
      <c r="AC36" s="3"/>
      <c r="AD36" s="6">
        <f>Parameters!B19*POWER(Parameters!$B$8,$C$31)</f>
        <v>27994519239.569862</v>
      </c>
      <c r="AE36" s="6"/>
      <c r="AF36" s="6">
        <f t="shared" si="37"/>
        <v>21990788379.589771</v>
      </c>
      <c r="AG36" s="6">
        <f t="shared" si="33"/>
        <v>24802694074.811798</v>
      </c>
      <c r="AH36" s="8">
        <f t="shared" si="38"/>
        <v>412245.68</v>
      </c>
      <c r="AI36" s="6">
        <f t="shared" si="39"/>
        <v>53343.890418911782</v>
      </c>
      <c r="AJ36" s="6"/>
      <c r="AK36" s="6">
        <f t="shared" si="40"/>
        <v>60164.836839070813</v>
      </c>
      <c r="AL36" s="6"/>
      <c r="AM36" s="19">
        <f t="shared" si="34"/>
        <v>3.6191753921243075</v>
      </c>
      <c r="AN36" s="19">
        <f t="shared" si="41"/>
        <v>18.367198956603925</v>
      </c>
      <c r="AO36" s="19">
        <f t="shared" si="42"/>
        <v>4.7270846860042619</v>
      </c>
      <c r="AP36" s="23">
        <f t="shared" si="43"/>
        <v>3.6261665819587003</v>
      </c>
      <c r="AQ36" s="23">
        <f t="shared" si="44"/>
        <v>18.413510599872531</v>
      </c>
      <c r="AR36" s="23">
        <f t="shared" si="45"/>
        <v>4.7793427432763824</v>
      </c>
      <c r="AT36">
        <v>1.9024130445632219</v>
      </c>
      <c r="AX36">
        <f t="shared" si="46"/>
        <v>2.1741859823861116</v>
      </c>
      <c r="BB36">
        <v>1.9042496112533935</v>
      </c>
      <c r="BF36">
        <f t="shared" si="47"/>
        <v>2.1861707946261615</v>
      </c>
    </row>
    <row r="37" spans="1:58" x14ac:dyDescent="0.2">
      <c r="A37">
        <v>6</v>
      </c>
      <c r="N37" s="14">
        <f>$N$31*Parameters!E20</f>
        <v>2127714290.356926</v>
      </c>
      <c r="O37" s="8"/>
      <c r="P37" s="8"/>
      <c r="Q37" s="8"/>
      <c r="R37" s="8"/>
      <c r="S37" s="8"/>
      <c r="T37" s="8"/>
      <c r="U37" s="8"/>
      <c r="V37" s="16">
        <f>Parameters!C20</f>
        <v>9.0905110853151228E-2</v>
      </c>
      <c r="W37" s="16">
        <f>(V37*$U$31)/(Parameters!B20*POWER(Parameters!$B$8,$C$31))</f>
        <v>0.23161781323300651</v>
      </c>
      <c r="X37" s="12">
        <f t="shared" si="35"/>
        <v>7732298769.2781839</v>
      </c>
      <c r="Y37" s="8">
        <f>Parameters!D20</f>
        <v>5.3698687476024153E-2</v>
      </c>
      <c r="Z37" s="8">
        <f>(Y37*$U$31)/(Parameters!B20*POWER(Parameters!$B$8,$C$31))</f>
        <v>0.13681928826610298</v>
      </c>
      <c r="AA37" s="6">
        <f t="shared" si="36"/>
        <v>4567557216.3753862</v>
      </c>
      <c r="AB37" s="3"/>
      <c r="AC37" s="3"/>
      <c r="AD37" s="6">
        <f>Parameters!B20*POWER(Parameters!$B$8,$C$31)</f>
        <v>33383869147.834175</v>
      </c>
      <c r="AE37" s="6"/>
      <c r="AF37" s="6">
        <f t="shared" si="37"/>
        <v>25651570378.555992</v>
      </c>
      <c r="AG37" s="6">
        <f t="shared" si="33"/>
        <v>28816311931.45879</v>
      </c>
      <c r="AH37" s="8">
        <f t="shared" si="38"/>
        <v>412245.68</v>
      </c>
      <c r="AI37" s="6">
        <f t="shared" si="39"/>
        <v>62223.988323069854</v>
      </c>
      <c r="AJ37" s="6"/>
      <c r="AK37" s="6">
        <f t="shared" si="40"/>
        <v>69900.822081286067</v>
      </c>
      <c r="AL37" s="6"/>
      <c r="AM37" s="19">
        <f t="shared" si="34"/>
        <v>3.6280829980969931</v>
      </c>
      <c r="AN37" s="19">
        <f t="shared" si="41"/>
        <v>19.257959553872482</v>
      </c>
      <c r="AO37" s="19">
        <f t="shared" si="42"/>
        <v>4.7939578443038533</v>
      </c>
      <c r="AP37" s="23">
        <f t="shared" si="43"/>
        <v>3.6345803520843734</v>
      </c>
      <c r="AQ37" s="23">
        <f t="shared" si="44"/>
        <v>19.25488761243983</v>
      </c>
      <c r="AR37" s="23">
        <f t="shared" si="45"/>
        <v>4.8444822833746768</v>
      </c>
      <c r="AT37">
        <v>1.904752739359362</v>
      </c>
      <c r="AX37">
        <f t="shared" si="46"/>
        <v>2.1895108687338944</v>
      </c>
      <c r="BB37">
        <v>1.9064575400685884</v>
      </c>
      <c r="BF37">
        <f t="shared" si="47"/>
        <v>2.2010184650235618</v>
      </c>
    </row>
    <row r="38" spans="1:58" x14ac:dyDescent="0.2">
      <c r="A38">
        <v>7</v>
      </c>
      <c r="N38" s="14">
        <f>$N$31*Parameters!E21</f>
        <v>1702171432.2855406</v>
      </c>
      <c r="V38" s="16">
        <f>Parameters!C21</f>
        <v>0.11035602414482847</v>
      </c>
      <c r="W38" s="16">
        <f>(V38*$U$31)/(Parameters!B21*POWER(Parameters!$B$8,$C$31))</f>
        <v>0.24019625076015488</v>
      </c>
      <c r="X38" s="12">
        <f t="shared" si="35"/>
        <v>9386774205.203125</v>
      </c>
      <c r="Y38" s="8">
        <f>Parameters!D21</f>
        <v>8.3813868210341438E-2</v>
      </c>
      <c r="Z38" s="8">
        <f>(Y38*$U$31)/(Parameters!B21*POWER(Parameters!$B$8,$C$31))</f>
        <v>0.18242571768813737</v>
      </c>
      <c r="AA38" s="6">
        <f t="shared" si="36"/>
        <v>7129124687.58957</v>
      </c>
      <c r="AD38" s="6">
        <f>Parameters!B21*POWER(Parameters!$B$8,$C$31)</f>
        <v>39079603347.24865</v>
      </c>
      <c r="AE38" s="6"/>
      <c r="AF38" s="6">
        <f t="shared" si="37"/>
        <v>29692829142.045525</v>
      </c>
      <c r="AG38" s="6">
        <f t="shared" si="33"/>
        <v>31950478659.659081</v>
      </c>
      <c r="AH38" s="8">
        <f t="shared" si="38"/>
        <v>412245.68</v>
      </c>
      <c r="AI38" s="6">
        <f t="shared" si="39"/>
        <v>72027.023162609068</v>
      </c>
      <c r="AJ38" s="6"/>
      <c r="AK38" s="6">
        <f t="shared" si="40"/>
        <v>77503.489326217023</v>
      </c>
      <c r="AL38" s="6"/>
      <c r="AM38" s="19">
        <f t="shared" si="34"/>
        <v>3.6362222388567966</v>
      </c>
      <c r="AN38" s="19">
        <f t="shared" si="41"/>
        <v>20.071883629852838</v>
      </c>
      <c r="AO38" s="19">
        <f t="shared" si="42"/>
        <v>4.8574954659946838</v>
      </c>
      <c r="AP38" s="23">
        <f t="shared" si="43"/>
        <v>3.6401842461512262</v>
      </c>
      <c r="AQ38" s="23">
        <f t="shared" si="44"/>
        <v>19.815277019125112</v>
      </c>
      <c r="AR38" s="23">
        <f t="shared" si="45"/>
        <v>4.8893212555515797</v>
      </c>
      <c r="AT38">
        <v>1.9068881033917005</v>
      </c>
      <c r="AX38">
        <f t="shared" si="46"/>
        <v>2.2039726554552992</v>
      </c>
      <c r="BB38">
        <v>1.9079266878345265</v>
      </c>
      <c r="BF38">
        <f t="shared" si="47"/>
        <v>2.2111809639990074</v>
      </c>
    </row>
    <row r="39" spans="1:58" x14ac:dyDescent="0.2">
      <c r="A39">
        <v>8</v>
      </c>
      <c r="N39" s="14">
        <f>$N$31*Parameters!E22</f>
        <v>1276628574.2141554</v>
      </c>
      <c r="V39" s="16">
        <f>Parameters!C22</f>
        <v>0.13623161609900061</v>
      </c>
      <c r="W39" s="16">
        <f>(V39*$U$31)/(Parameters!B22*POWER(Parameters!$B$8,$C$31))</f>
        <v>0.2487746882873032</v>
      </c>
      <c r="X39" s="12">
        <f t="shared" si="35"/>
        <v>11587726450.284229</v>
      </c>
      <c r="Y39" s="8">
        <f>Parameters!D22</f>
        <v>0.13736006243615159</v>
      </c>
      <c r="Z39" s="8">
        <f>(Y39*$U$31)/(Parameters!B22*POWER(Parameters!$B$8,$C$31))</f>
        <v>0.25083536182118887</v>
      </c>
      <c r="AA39" s="6">
        <f t="shared" si="36"/>
        <v>11683710979.009398</v>
      </c>
      <c r="AD39" s="6">
        <f>Parameters!B22*POWER(Parameters!$B$8,$C$31)</f>
        <v>46579201968.095222</v>
      </c>
      <c r="AE39" s="6"/>
      <c r="AF39" s="6">
        <f t="shared" si="37"/>
        <v>34991475517.810989</v>
      </c>
      <c r="AG39" s="6">
        <f t="shared" si="33"/>
        <v>34895490989.085823</v>
      </c>
      <c r="AH39" s="8">
        <f t="shared" si="38"/>
        <v>412245.68</v>
      </c>
      <c r="AI39" s="6">
        <f t="shared" si="39"/>
        <v>84880.150879473105</v>
      </c>
      <c r="AJ39" s="6"/>
      <c r="AK39" s="6">
        <f t="shared" si="40"/>
        <v>84647.317563366159</v>
      </c>
      <c r="AL39" s="6"/>
      <c r="AM39" s="19">
        <f t="shared" si="34"/>
        <v>3.6449959638698073</v>
      </c>
      <c r="AN39" s="19">
        <f t="shared" si="41"/>
        <v>20.949256131153902</v>
      </c>
      <c r="AO39" s="19">
        <f t="shared" si="42"/>
        <v>4.9288061428780203</v>
      </c>
      <c r="AP39" s="23">
        <f t="shared" si="43"/>
        <v>3.6448522492963509</v>
      </c>
      <c r="AQ39" s="23">
        <f t="shared" si="44"/>
        <v>20.282077333637581</v>
      </c>
      <c r="AR39" s="23">
        <f t="shared" si="45"/>
        <v>4.927613200059997</v>
      </c>
      <c r="AT39">
        <v>1.9091872521755973</v>
      </c>
      <c r="AX39">
        <f t="shared" si="46"/>
        <v>2.2200914717366986</v>
      </c>
      <c r="BB39">
        <v>1.9091496141728523</v>
      </c>
      <c r="BF39">
        <f t="shared" si="47"/>
        <v>2.2198227857331307</v>
      </c>
    </row>
    <row r="40" spans="1:58" x14ac:dyDescent="0.2">
      <c r="A40">
        <v>9</v>
      </c>
      <c r="N40" s="14">
        <f>$N$31*Parameters!E23</f>
        <v>851085716.14277029</v>
      </c>
      <c r="V40" s="16">
        <f>Parameters!C23</f>
        <v>0.17539672338276532</v>
      </c>
      <c r="W40" s="16">
        <f>(V40*$U$31)/(Parameters!B23*POWER(Parameters!$B$8,$C$31))</f>
        <v>0.25735312581445163</v>
      </c>
      <c r="X40" s="12">
        <f t="shared" si="35"/>
        <v>14919071717.967867</v>
      </c>
      <c r="Y40" s="8">
        <f>Parameters!D23</f>
        <v>0.21757858127224192</v>
      </c>
      <c r="Z40" s="8">
        <f>(Y40*$U$31)/(Parameters!B23*POWER(Parameters!$B$8,$C$31))</f>
        <v>0.31924500595424038</v>
      </c>
      <c r="AA40" s="6">
        <f t="shared" si="36"/>
        <v>18507018806.79055</v>
      </c>
      <c r="AD40" s="6">
        <f>Parameters!B23*POWER(Parameters!$B$8,$C$31)</f>
        <v>57971208512.634621</v>
      </c>
      <c r="AE40" s="6"/>
      <c r="AF40" s="6">
        <f t="shared" si="37"/>
        <v>43052136794.666756</v>
      </c>
      <c r="AG40" s="6">
        <f t="shared" si="33"/>
        <v>39464189705.84407</v>
      </c>
      <c r="AH40" s="8">
        <f t="shared" si="38"/>
        <v>412245.68</v>
      </c>
      <c r="AI40" s="6">
        <f t="shared" si="39"/>
        <v>104433.20302268966</v>
      </c>
      <c r="AJ40" s="6"/>
      <c r="AK40" s="6">
        <f t="shared" si="40"/>
        <v>95729.783525794788</v>
      </c>
      <c r="AL40" s="6"/>
      <c r="AM40" s="19">
        <f t="shared" si="34"/>
        <v>3.6555513357060363</v>
      </c>
      <c r="AN40" s="19">
        <f t="shared" si="41"/>
        <v>22.004793314776805</v>
      </c>
      <c r="AO40" s="19">
        <f t="shared" si="42"/>
        <v>5.0188385982543302</v>
      </c>
      <c r="AP40" s="23">
        <f t="shared" si="43"/>
        <v>3.6511898526486477</v>
      </c>
      <c r="AQ40" s="23">
        <f t="shared" si="44"/>
        <v>20.915837668867265</v>
      </c>
      <c r="AR40" s="23">
        <f t="shared" si="45"/>
        <v>4.9810470768421489</v>
      </c>
      <c r="AT40">
        <v>1.9119496164141032</v>
      </c>
      <c r="AX40">
        <f t="shared" si="46"/>
        <v>2.2402764557648527</v>
      </c>
      <c r="BB40">
        <v>1.9108086907507638</v>
      </c>
      <c r="BF40">
        <f t="shared" si="47"/>
        <v>2.231825951287902</v>
      </c>
    </row>
    <row r="41" spans="1:58" x14ac:dyDescent="0.2">
      <c r="A41">
        <v>10</v>
      </c>
      <c r="N41" s="14">
        <f>$N$31*Parameters!E24</f>
        <v>425542858.07138515</v>
      </c>
      <c r="V41" s="16">
        <f>Parameters!C24</f>
        <v>0.31542540330404345</v>
      </c>
      <c r="W41" s="16">
        <f>(V41*$U$31)/(Parameters!B24*POWER(Parameters!$B$8,$C$31))</f>
        <v>0.26593156334160006</v>
      </c>
      <c r="X41" s="12">
        <f t="shared" si="35"/>
        <v>26829772659.392597</v>
      </c>
      <c r="Y41" s="8">
        <f>Parameters!D24</f>
        <v>0.43275574250579357</v>
      </c>
      <c r="Z41" s="8">
        <f>(Y41*$U$31)/(Parameters!B24*POWER(Parameters!$B$8,$C$31))</f>
        <v>0.36485143537627468</v>
      </c>
      <c r="AA41" s="6">
        <f t="shared" si="36"/>
        <v>36809775201.540474</v>
      </c>
      <c r="AD41" s="6">
        <f>Parameters!B24*POWER(Parameters!$B$8,$C$31)</f>
        <v>100889763976.33795</v>
      </c>
      <c r="AE41" s="6"/>
      <c r="AF41" s="6">
        <f t="shared" si="37"/>
        <v>74059991316.945358</v>
      </c>
      <c r="AG41" s="6">
        <f t="shared" si="33"/>
        <v>64079988774.797478</v>
      </c>
      <c r="AH41" s="8">
        <f t="shared" si="38"/>
        <v>412245.68</v>
      </c>
      <c r="AI41" s="6">
        <f t="shared" si="39"/>
        <v>179650.13318501084</v>
      </c>
      <c r="AJ41" s="6"/>
      <c r="AK41" s="6">
        <f t="shared" si="40"/>
        <v>155441.262052273</v>
      </c>
      <c r="AL41" s="6"/>
      <c r="AM41" s="19">
        <f t="shared" si="34"/>
        <v>3.6806243128049747</v>
      </c>
      <c r="AN41" s="19">
        <f t="shared" si="41"/>
        <v>24.512091024670646</v>
      </c>
      <c r="AO41" s="19">
        <f t="shared" si="42"/>
        <v>5.2544275435083492</v>
      </c>
      <c r="AP41" s="23">
        <f t="shared" si="43"/>
        <v>3.6742761948438325</v>
      </c>
      <c r="AQ41" s="23">
        <f t="shared" si="44"/>
        <v>23.224471888385743</v>
      </c>
      <c r="AR41" s="23">
        <f t="shared" si="45"/>
        <v>5.1915663137118555</v>
      </c>
      <c r="AT41">
        <v>1.9184953251975816</v>
      </c>
      <c r="AX41">
        <f t="shared" si="46"/>
        <v>2.292253813064415</v>
      </c>
      <c r="BB41">
        <v>1.9168401589187953</v>
      </c>
      <c r="BF41">
        <f t="shared" si="47"/>
        <v>2.2785008917513849</v>
      </c>
    </row>
    <row r="44" spans="1:58" x14ac:dyDescent="0.2">
      <c r="A44" s="38" t="s">
        <v>180</v>
      </c>
    </row>
    <row r="45" spans="1:58" x14ac:dyDescent="0.2">
      <c r="A45" s="45" t="s">
        <v>147</v>
      </c>
    </row>
  </sheetData>
  <mergeCells count="42">
    <mergeCell ref="AK1:AL1"/>
    <mergeCell ref="AP1:AR1"/>
    <mergeCell ref="AS1:AV1"/>
    <mergeCell ref="B1:C1"/>
    <mergeCell ref="D1:H1"/>
    <mergeCell ref="I1:N1"/>
    <mergeCell ref="V1:X1"/>
    <mergeCell ref="Y1:AA1"/>
    <mergeCell ref="AB1:AC1"/>
    <mergeCell ref="B15:C15"/>
    <mergeCell ref="D15:H15"/>
    <mergeCell ref="I15:N15"/>
    <mergeCell ref="V15:X15"/>
    <mergeCell ref="Y15:AA15"/>
    <mergeCell ref="AB29:AC29"/>
    <mergeCell ref="AM15:AO15"/>
    <mergeCell ref="AP15:AR15"/>
    <mergeCell ref="AS15:AV15"/>
    <mergeCell ref="AW15:AZ15"/>
    <mergeCell ref="AB15:AC15"/>
    <mergeCell ref="AD15:AE15"/>
    <mergeCell ref="B29:C29"/>
    <mergeCell ref="D29:H29"/>
    <mergeCell ref="I29:N29"/>
    <mergeCell ref="V29:X29"/>
    <mergeCell ref="Y29:AA29"/>
    <mergeCell ref="BE29:BH29"/>
    <mergeCell ref="BK1:BM1"/>
    <mergeCell ref="AM1:AO1"/>
    <mergeCell ref="AD29:AE29"/>
    <mergeCell ref="AM29:AO29"/>
    <mergeCell ref="AP29:AR29"/>
    <mergeCell ref="AS29:AV29"/>
    <mergeCell ref="AW29:AZ29"/>
    <mergeCell ref="BA29:BD29"/>
    <mergeCell ref="BA15:BD15"/>
    <mergeCell ref="BE15:BH15"/>
    <mergeCell ref="AW1:AZ1"/>
    <mergeCell ref="BA1:BD1"/>
    <mergeCell ref="BE1:BH1"/>
    <mergeCell ref="AD1:AE1"/>
    <mergeCell ref="AI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F5DB-FF45-402E-B122-F98432D71F77}">
  <dimension ref="A1:BJ44"/>
  <sheetViews>
    <sheetView tabSelected="1" topLeftCell="AG4" workbookViewId="0">
      <selection activeCell="AR30" sqref="AR30"/>
    </sheetView>
  </sheetViews>
  <sheetFormatPr baseColWidth="10" defaultColWidth="8.83203125" defaultRowHeight="15" x14ac:dyDescent="0.2"/>
  <cols>
    <col min="3" max="3" width="16" customWidth="1"/>
    <col min="4" max="4" width="27.5" bestFit="1" customWidth="1"/>
    <col min="5" max="5" width="26.83203125" customWidth="1"/>
    <col min="6" max="8" width="28.5" customWidth="1"/>
    <col min="9" max="9" width="35.5" bestFit="1" customWidth="1"/>
    <col min="10" max="13" width="31.5" customWidth="1"/>
    <col min="14" max="22" width="27.83203125" customWidth="1"/>
    <col min="23" max="23" width="28.83203125" customWidth="1"/>
    <col min="24" max="27" width="27.83203125" customWidth="1"/>
    <col min="28" max="28" width="36.5" bestFit="1" customWidth="1"/>
    <col min="29" max="29" width="25.33203125" bestFit="1" customWidth="1"/>
    <col min="30" max="36" width="31.83203125" customWidth="1"/>
    <col min="37" max="37" width="38.6640625" bestFit="1" customWidth="1"/>
    <col min="38" max="44" width="38.6640625" customWidth="1"/>
    <col min="45" max="45" width="11.5" customWidth="1"/>
    <col min="46" max="46" width="14.5" bestFit="1" customWidth="1"/>
    <col min="47" max="47" width="11.1640625" customWidth="1"/>
    <col min="48" max="49" width="12" customWidth="1"/>
    <col min="50" max="50" width="14.5" bestFit="1" customWidth="1"/>
    <col min="51" max="52" width="12" customWidth="1"/>
    <col min="53" max="53" width="16" bestFit="1" customWidth="1"/>
    <col min="54" max="54" width="14.5" bestFit="1" customWidth="1"/>
    <col min="55" max="55" width="16" bestFit="1" customWidth="1"/>
    <col min="56" max="56" width="14.83203125" bestFit="1" customWidth="1"/>
    <col min="57" max="57" width="16" bestFit="1" customWidth="1"/>
    <col min="58" max="58" width="14.5" bestFit="1" customWidth="1"/>
    <col min="59" max="59" width="12.5" bestFit="1" customWidth="1"/>
    <col min="60" max="60" width="14.83203125" bestFit="1" customWidth="1"/>
    <col min="61" max="61" width="16.5" customWidth="1"/>
    <col min="62" max="62" width="16.6640625" customWidth="1"/>
  </cols>
  <sheetData>
    <row r="1" spans="1:62" s="2" customFormat="1" x14ac:dyDescent="0.2">
      <c r="A1" s="2" t="s">
        <v>90</v>
      </c>
      <c r="B1" s="51" t="s">
        <v>39</v>
      </c>
      <c r="C1" s="51"/>
      <c r="D1" s="51" t="s">
        <v>47</v>
      </c>
      <c r="E1" s="51"/>
      <c r="F1" s="51"/>
      <c r="G1" s="51"/>
      <c r="H1" s="52"/>
      <c r="I1" s="51"/>
      <c r="J1" s="51"/>
      <c r="K1" s="51"/>
      <c r="L1" s="51"/>
      <c r="M1" s="51"/>
      <c r="N1" s="51"/>
      <c r="O1" s="15"/>
      <c r="P1" s="15"/>
      <c r="Q1" s="15"/>
      <c r="R1" s="15"/>
      <c r="S1" s="15"/>
      <c r="T1" s="15"/>
      <c r="U1" s="15"/>
      <c r="V1" s="51" t="s">
        <v>157</v>
      </c>
      <c r="W1" s="51"/>
      <c r="X1" s="51"/>
      <c r="Y1" s="51" t="s">
        <v>159</v>
      </c>
      <c r="Z1" s="51"/>
      <c r="AA1" s="51"/>
      <c r="AB1" s="51" t="s">
        <v>91</v>
      </c>
      <c r="AC1" s="51"/>
      <c r="AD1" s="51" t="s">
        <v>48</v>
      </c>
      <c r="AE1" s="51"/>
      <c r="AF1" s="2" t="s">
        <v>183</v>
      </c>
      <c r="AG1" s="15" t="s">
        <v>87</v>
      </c>
      <c r="AH1" s="2" t="s">
        <v>92</v>
      </c>
      <c r="AI1" s="15" t="s">
        <v>184</v>
      </c>
      <c r="AJ1" s="15" t="s">
        <v>93</v>
      </c>
      <c r="AK1" s="51" t="s">
        <v>205</v>
      </c>
      <c r="AL1" s="51"/>
      <c r="AM1" s="51"/>
      <c r="AN1" s="51"/>
      <c r="AO1" s="51" t="s">
        <v>210</v>
      </c>
      <c r="AP1" s="51"/>
      <c r="AQ1" s="51"/>
      <c r="AR1" s="51"/>
      <c r="AS1" s="51" t="s">
        <v>215</v>
      </c>
      <c r="AT1" s="51"/>
      <c r="AU1" s="51"/>
      <c r="AV1" s="51"/>
      <c r="AW1" s="53" t="s">
        <v>216</v>
      </c>
      <c r="AX1" s="53"/>
      <c r="AY1" s="53"/>
      <c r="AZ1" s="53"/>
      <c r="BA1" s="51" t="s">
        <v>217</v>
      </c>
      <c r="BB1" s="51"/>
      <c r="BC1" s="51"/>
      <c r="BD1" s="51"/>
      <c r="BE1" s="51" t="s">
        <v>218</v>
      </c>
      <c r="BF1" s="51"/>
      <c r="BG1" s="51"/>
      <c r="BH1" s="51"/>
      <c r="BI1" s="53" t="s">
        <v>239</v>
      </c>
      <c r="BJ1" s="53"/>
    </row>
    <row r="2" spans="1:62" s="9" customFormat="1" x14ac:dyDescent="0.2">
      <c r="B2" s="9" t="s">
        <v>39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  <c r="H2" s="9" t="s">
        <v>57</v>
      </c>
      <c r="I2" s="9" t="s">
        <v>94</v>
      </c>
      <c r="J2" s="9" t="s">
        <v>59</v>
      </c>
      <c r="K2" s="9" t="s">
        <v>60</v>
      </c>
      <c r="L2" s="9" t="s">
        <v>61</v>
      </c>
      <c r="M2" s="9" t="s">
        <v>62</v>
      </c>
      <c r="N2" s="9" t="s">
        <v>95</v>
      </c>
      <c r="O2" s="9" t="s">
        <v>58</v>
      </c>
      <c r="P2" s="9" t="s">
        <v>59</v>
      </c>
      <c r="Q2" s="9" t="s">
        <v>60</v>
      </c>
      <c r="R2" s="9" t="s">
        <v>61</v>
      </c>
      <c r="S2" s="9" t="s">
        <v>62</v>
      </c>
      <c r="T2" s="11" t="s">
        <v>63</v>
      </c>
      <c r="U2" s="9" t="s">
        <v>96</v>
      </c>
      <c r="V2" s="9" t="s">
        <v>64</v>
      </c>
      <c r="W2" s="9" t="s">
        <v>97</v>
      </c>
      <c r="X2" s="9" t="s">
        <v>66</v>
      </c>
      <c r="Y2" s="9" t="s">
        <v>64</v>
      </c>
      <c r="Z2" s="9" t="s">
        <v>97</v>
      </c>
      <c r="AA2" s="9" t="s">
        <v>66</v>
      </c>
      <c r="AB2" s="9" t="s">
        <v>98</v>
      </c>
      <c r="AC2" s="9" t="s">
        <v>99</v>
      </c>
      <c r="AD2" s="9" t="s">
        <v>100</v>
      </c>
      <c r="AE2" s="9" t="s">
        <v>68</v>
      </c>
      <c r="AF2" s="9" t="s">
        <v>101</v>
      </c>
      <c r="AG2" s="9" t="s">
        <v>101</v>
      </c>
      <c r="AK2" s="9" t="s">
        <v>163</v>
      </c>
      <c r="AL2" s="9" t="s">
        <v>185</v>
      </c>
      <c r="AM2" s="9" t="s">
        <v>179</v>
      </c>
      <c r="AN2" s="9" t="s">
        <v>250</v>
      </c>
      <c r="AO2" s="9" t="s">
        <v>163</v>
      </c>
      <c r="AP2" s="9" t="s">
        <v>185</v>
      </c>
      <c r="AQ2" s="9" t="s">
        <v>179</v>
      </c>
      <c r="AR2" s="9" t="s">
        <v>250</v>
      </c>
      <c r="AS2" s="17" t="s">
        <v>49</v>
      </c>
      <c r="AT2" s="9" t="s">
        <v>72</v>
      </c>
      <c r="AU2" s="9" t="s">
        <v>50</v>
      </c>
      <c r="AV2" s="9" t="s">
        <v>51</v>
      </c>
      <c r="AW2" s="17" t="s">
        <v>49</v>
      </c>
      <c r="AX2" s="9" t="s">
        <v>72</v>
      </c>
      <c r="AY2" s="9" t="s">
        <v>50</v>
      </c>
      <c r="AZ2" s="9" t="s">
        <v>51</v>
      </c>
      <c r="BA2" s="9" t="s">
        <v>49</v>
      </c>
      <c r="BB2" s="9" t="s">
        <v>72</v>
      </c>
      <c r="BC2" s="9" t="s">
        <v>50</v>
      </c>
      <c r="BD2" s="9" t="s">
        <v>51</v>
      </c>
      <c r="BE2" s="9" t="s">
        <v>49</v>
      </c>
      <c r="BF2" s="9" t="s">
        <v>72</v>
      </c>
      <c r="BG2" s="9" t="s">
        <v>50</v>
      </c>
      <c r="BH2" s="9" t="s">
        <v>51</v>
      </c>
      <c r="BI2" s="40" t="s">
        <v>237</v>
      </c>
      <c r="BJ2" s="40" t="s">
        <v>238</v>
      </c>
    </row>
    <row r="3" spans="1:62" x14ac:dyDescent="0.2">
      <c r="A3" t="s">
        <v>77</v>
      </c>
      <c r="B3">
        <v>2026</v>
      </c>
      <c r="C3">
        <v>2</v>
      </c>
      <c r="D3" s="6">
        <f>Parameters!$B$4</f>
        <v>27012.440000000002</v>
      </c>
      <c r="E3">
        <f>Parameters!$B$5</f>
        <v>20778.68</v>
      </c>
      <c r="F3" s="5">
        <f>Parameters!$B$8</f>
        <v>1.01088</v>
      </c>
      <c r="G3" s="6">
        <f>D3*POWER(F3,C3)</f>
        <v>27603.428275777536</v>
      </c>
      <c r="H3" s="6">
        <f>E3*POWER(F3,C3)</f>
        <v>21233.28374057779</v>
      </c>
      <c r="I3" s="8">
        <f>Parameters!B3*Parameters!B39</f>
        <v>232117.8</v>
      </c>
      <c r="J3" s="8">
        <f>I3*Parameters!$B$10</f>
        <v>97489.475999999995</v>
      </c>
      <c r="K3" s="8">
        <f>I3*Parameters!$B$9</f>
        <v>134628.32399999999</v>
      </c>
      <c r="L3" s="8">
        <f>J3*G3</f>
        <v>2691043758.4091353</v>
      </c>
      <c r="M3" s="8">
        <f>K3*H3</f>
        <v>2858601403.0104384</v>
      </c>
      <c r="N3" s="8">
        <f>M3+L3</f>
        <v>5549645161.4195738</v>
      </c>
      <c r="O3" s="8">
        <f>Parameters!B39</f>
        <v>932200</v>
      </c>
      <c r="P3" s="8">
        <f>O3*Parameters!$B$10</f>
        <v>391524</v>
      </c>
      <c r="Q3" s="8">
        <f>O3*Parameters!$B$9</f>
        <v>540676</v>
      </c>
      <c r="R3" s="8">
        <f>P3*G3</f>
        <v>10807404652.245523</v>
      </c>
      <c r="S3" s="8">
        <f>Q3*H3</f>
        <v>11480326919.720636</v>
      </c>
      <c r="T3" s="14">
        <f>S3+R3</f>
        <v>22287731571.96616</v>
      </c>
      <c r="U3" s="8">
        <f>T3-SUM(N7:N13)</f>
        <v>19462457671.607105</v>
      </c>
      <c r="AA3" s="6">
        <f>SUM(AA4:AA13)</f>
        <v>19462457671.607105</v>
      </c>
      <c r="AB3" s="3">
        <f>Parameters!C39*Parameters!B2</f>
        <v>2728423.5</v>
      </c>
      <c r="AC3" s="3">
        <f>AB3+I3</f>
        <v>2960541.3</v>
      </c>
      <c r="AD3" s="6">
        <f>SUM(AD4:AD13)</f>
        <v>198650090348.23676</v>
      </c>
      <c r="AE3" s="6">
        <f>N3</f>
        <v>5549645161.4195738</v>
      </c>
      <c r="AF3" s="6">
        <f>AD3+AE3-X3</f>
        <v>204199735509.65634</v>
      </c>
      <c r="AG3" s="6">
        <f>AD3+AE3-AA3</f>
        <v>184737277838.04922</v>
      </c>
      <c r="AH3" s="8"/>
      <c r="AI3" s="6" t="s">
        <v>103</v>
      </c>
      <c r="AJ3" s="6" t="s">
        <v>103</v>
      </c>
      <c r="AM3" t="s">
        <v>147</v>
      </c>
      <c r="AN3" t="s">
        <v>147</v>
      </c>
      <c r="AQ3" t="s">
        <v>147</v>
      </c>
      <c r="AR3" t="s">
        <v>147</v>
      </c>
      <c r="AS3" s="18">
        <f>SUM(AK4:AK13)</f>
        <v>35.991270935909697</v>
      </c>
      <c r="AU3">
        <f>SUM(AT4:AT13)</f>
        <v>18.970572767069218</v>
      </c>
      <c r="AV3" s="16">
        <f>MIN(AK5:AK13)</f>
        <v>3.5283063842608517</v>
      </c>
      <c r="AW3" s="16">
        <f>SUM(AN4:AN13)</f>
        <v>46.375890458556491</v>
      </c>
      <c r="AX3" s="16"/>
      <c r="AY3" s="16">
        <f>SUM(AX4:AX13)</f>
        <v>21.513718013699116</v>
      </c>
      <c r="AZ3" s="16">
        <f>MIN(AN5:AN13)</f>
        <v>4.1646457854620502</v>
      </c>
      <c r="BA3" s="23">
        <f>SUM(AO4:AO13)</f>
        <v>36.008791508424459</v>
      </c>
      <c r="BC3">
        <f>SUM(BB4:BB13)</f>
        <v>18.975229858866875</v>
      </c>
      <c r="BD3" s="23">
        <f>MIN(AO5:AO13)</f>
        <v>3.5322461422473173</v>
      </c>
      <c r="BE3" s="23">
        <f>SUM(AR4:AR13)</f>
        <v>46.471705836181485</v>
      </c>
      <c r="BG3">
        <f>SUM(BF3:BF13)</f>
        <v>21.537018720520212</v>
      </c>
      <c r="BH3" s="23">
        <f>MIN(AR5:AR13)</f>
        <v>4.1854795298683865</v>
      </c>
    </row>
    <row r="4" spans="1:62" x14ac:dyDescent="0.2">
      <c r="A4">
        <v>1</v>
      </c>
      <c r="D4" s="6"/>
      <c r="F4" s="5"/>
      <c r="G4" s="6"/>
      <c r="H4" s="6"/>
      <c r="I4" s="8"/>
      <c r="J4" s="8"/>
      <c r="K4" s="8"/>
      <c r="L4" s="8"/>
      <c r="M4" s="8"/>
      <c r="N4" s="8">
        <f>$N$3*Parameters!E15</f>
        <v>1009026392.9853771</v>
      </c>
      <c r="O4" s="8"/>
      <c r="P4" s="8"/>
      <c r="Q4" s="8"/>
      <c r="R4" s="8"/>
      <c r="S4" s="8"/>
      <c r="T4" s="8"/>
      <c r="U4" s="8"/>
      <c r="V4" s="16">
        <f>Parameters!C15</f>
        <v>3.6096393698449797E-3</v>
      </c>
      <c r="W4" s="16">
        <f>(V4*$U$3)/(Parameters!B15*POWER(Parameters!$B$8, $C$3))</f>
        <v>8.6140021647360995E-2</v>
      </c>
      <c r="X4" s="6">
        <f>$U$3*V4</f>
        <v>70252453.445374459</v>
      </c>
      <c r="Y4" s="8" cm="1">
        <f t="array" ref="Y4:Y13">Parameters!D15:D24</f>
        <v>0</v>
      </c>
      <c r="Z4" s="30">
        <f>(Y4*$U$3)/(Parameters!B15*POWER(Parameters!$B$8, $C$3))</f>
        <v>0</v>
      </c>
      <c r="AA4" s="6">
        <f>$U$3*Y4</f>
        <v>0</v>
      </c>
      <c r="AB4" s="3"/>
      <c r="AC4" s="3"/>
      <c r="AD4" s="6">
        <f>Parameters!B15*POWER(Parameters!$B$8,$C$3)</f>
        <v>815561130.60863996</v>
      </c>
      <c r="AE4" s="6">
        <f>$AE$3*Parameters!E15</f>
        <v>1009026392.9853771</v>
      </c>
      <c r="AF4" s="6">
        <f>AD4+AE4-X4</f>
        <v>1754335070.1486425</v>
      </c>
      <c r="AG4" s="6">
        <f>AD4+AE4-AA4</f>
        <v>1824587523.594017</v>
      </c>
      <c r="AH4" s="8">
        <f>($AB$3+$I$3)/10</f>
        <v>296054.13</v>
      </c>
      <c r="AI4" s="6">
        <f>AF4/AH4</f>
        <v>5925.7240226597833</v>
      </c>
      <c r="AJ4" s="6">
        <f t="shared" ref="AJ4:AJ13" si="0">AG4/AH4</f>
        <v>6163.0199977079092</v>
      </c>
      <c r="AK4" s="19">
        <f t="shared" ref="AK4:AK13" si="1">(POWER(AI4, -0.26) - 1)/-0.26</f>
        <v>3.4442576622504673</v>
      </c>
      <c r="AL4" s="19">
        <f>(AK4-$AK$4)*100</f>
        <v>0</v>
      </c>
      <c r="AM4" s="19">
        <f>(POWER(AI4, -1) - 1)/-1</f>
        <v>0.99983124425029313</v>
      </c>
      <c r="AN4" s="19">
        <f t="shared" ref="AN4:AN13" si="2">LOG(AI4)</f>
        <v>3.7727414213210584</v>
      </c>
      <c r="AO4" s="23">
        <f t="shared" ref="AO4:AO13" si="3">(POWER(AJ4, -0.26) - 1)/-0.26</f>
        <v>3.4483396087835314</v>
      </c>
      <c r="AP4" s="23">
        <f>(AO4-$AO$4)*100</f>
        <v>0</v>
      </c>
      <c r="AQ4" s="23">
        <f>(POWER(AJ4, -1) - 1)/-1</f>
        <v>0.99983774188622265</v>
      </c>
      <c r="AR4" s="23">
        <f t="shared" ref="AR4:AR13" si="4">LOG(AJ4)</f>
        <v>3.7897935769275124</v>
      </c>
      <c r="AT4">
        <f>SQRT(AK4)</f>
        <v>1.8558711329859268</v>
      </c>
      <c r="AX4">
        <f>SQRT(AN4)</f>
        <v>1.9423546075114755</v>
      </c>
      <c r="BB4" cm="1">
        <f t="array" ref="BB4:BB13">SQRT(AO4:AO13)</f>
        <v>1.8569705460193846</v>
      </c>
      <c r="BF4">
        <f>SQRT(AR4)</f>
        <v>1.9467392164662201</v>
      </c>
      <c r="BI4">
        <f>SQRT(AM4)</f>
        <v>0.9999156185650333</v>
      </c>
      <c r="BJ4">
        <f>SQRT(AQ4)</f>
        <v>0.99991886765188243</v>
      </c>
    </row>
    <row r="5" spans="1:62" x14ac:dyDescent="0.2">
      <c r="A5">
        <v>2</v>
      </c>
      <c r="D5" s="6"/>
      <c r="F5" s="5"/>
      <c r="G5" s="6"/>
      <c r="H5" s="6"/>
      <c r="I5" s="8"/>
      <c r="J5" s="8"/>
      <c r="K5" s="8"/>
      <c r="L5" s="8"/>
      <c r="M5" s="8"/>
      <c r="N5" s="8">
        <f>$N$3*Parameters!E16</f>
        <v>908123753.68683934</v>
      </c>
      <c r="O5" s="8"/>
      <c r="P5" s="8"/>
      <c r="Q5" s="8"/>
      <c r="R5" s="8"/>
      <c r="S5" s="8"/>
      <c r="T5" s="8"/>
      <c r="U5" s="8"/>
      <c r="V5" s="8">
        <f>Parameters!C16</f>
        <v>1.4401036406566694E-2</v>
      </c>
      <c r="W5" s="16">
        <f>(V5*$U$3)/(Parameters!B16*POWER(Parameters!$B$8, $C$3))</f>
        <v>7.5803219049677684E-2</v>
      </c>
      <c r="X5" s="6">
        <f>$U$3*V5</f>
        <v>280279561.4900772</v>
      </c>
      <c r="Y5" s="8">
        <v>3.4800777499171295E-3</v>
      </c>
      <c r="Z5" s="30">
        <f>(Y5*$U$3)/(Parameters!B16*POWER(Parameters!$B$8, $C$3))</f>
        <v>1.831820214457534E-2</v>
      </c>
      <c r="AA5" s="6">
        <f t="shared" ref="AA5:AA13" si="5">$U$3*Y5</f>
        <v>67730865.901663825</v>
      </c>
      <c r="AB5" s="3"/>
      <c r="AC5" s="3"/>
      <c r="AD5" s="6">
        <f>Parameters!B16*POWER(Parameters!$B$8,$C$3)</f>
        <v>3697462522.0915198</v>
      </c>
      <c r="AE5" s="6">
        <f>$AE$3*Parameters!E16</f>
        <v>908123753.68683934</v>
      </c>
      <c r="AF5" s="6">
        <f t="shared" ref="AF5:AF13" si="6">AD5+AE5-X5</f>
        <v>4325306714.2882824</v>
      </c>
      <c r="AG5" s="6">
        <f t="shared" ref="AG5:AG13" si="7">AD5+AE5-AA5</f>
        <v>4537855409.8766956</v>
      </c>
      <c r="AH5" s="8">
        <f t="shared" ref="AH5:AH13" si="8">($AB$3+$I$3)/10</f>
        <v>296054.13</v>
      </c>
      <c r="AI5" s="6">
        <f t="shared" ref="AI5:AI13" si="9">AF5/AH5</f>
        <v>14609.850956270337</v>
      </c>
      <c r="AJ5" s="6">
        <f t="shared" si="0"/>
        <v>15327.789583197828</v>
      </c>
      <c r="AK5" s="19">
        <f t="shared" si="1"/>
        <v>3.5283063842608517</v>
      </c>
      <c r="AL5" s="19">
        <f t="shared" ref="AL5:AL13" si="10">(AK5-$AK$4)*100</f>
        <v>8.4048722010384491</v>
      </c>
      <c r="AM5" s="19">
        <f t="shared" ref="AM5:AM13" si="11">(POWER(AI5, -1) - 1)/-1</f>
        <v>0.99993155303206083</v>
      </c>
      <c r="AN5" s="19">
        <f t="shared" si="2"/>
        <v>4.1646457854620502</v>
      </c>
      <c r="AO5" s="23">
        <f t="shared" si="3"/>
        <v>3.5322461422473173</v>
      </c>
      <c r="AP5" s="23">
        <f>(AO5-$AO$4)*100</f>
        <v>8.3906533463785848</v>
      </c>
      <c r="AQ5" s="23">
        <f t="shared" ref="AQ5:AQ13" si="12">(POWER(AJ5, -1) - 1)/-1</f>
        <v>0.99993475902089002</v>
      </c>
      <c r="AR5" s="23">
        <f t="shared" si="4"/>
        <v>4.1854795298683865</v>
      </c>
      <c r="AT5">
        <f t="shared" ref="AT5:AT13" si="13">SQRT(AK5)</f>
        <v>1.8783786583809059</v>
      </c>
      <c r="AX5">
        <f t="shared" ref="AX5:AX13" si="14">SQRT(AN5)</f>
        <v>2.0407463795048248</v>
      </c>
      <c r="BB5">
        <v>1.879427078193596</v>
      </c>
      <c r="BF5">
        <f t="shared" ref="BF5:BF13" si="15">SQRT(AR5)</f>
        <v>2.0458444539769847</v>
      </c>
      <c r="BI5">
        <f t="shared" ref="BI5:BI13" si="16">SQRT(AM5)</f>
        <v>0.99996577593038694</v>
      </c>
      <c r="BJ5">
        <f t="shared" ref="BJ5:BJ13" si="17">SQRT(AQ5)</f>
        <v>0.99996737897837951</v>
      </c>
    </row>
    <row r="6" spans="1:62" x14ac:dyDescent="0.2">
      <c r="A6">
        <v>3</v>
      </c>
      <c r="D6" s="6"/>
      <c r="F6" s="5"/>
      <c r="G6" s="6"/>
      <c r="H6" s="6"/>
      <c r="I6" s="8"/>
      <c r="J6" s="8"/>
      <c r="K6" s="8"/>
      <c r="L6" s="8"/>
      <c r="M6" s="8"/>
      <c r="N6" s="8">
        <f>$N$3*Parameters!E17</f>
        <v>807221114.38830161</v>
      </c>
      <c r="O6" s="8"/>
      <c r="P6" s="8"/>
      <c r="Q6" s="8"/>
      <c r="R6" s="8"/>
      <c r="S6" s="8"/>
      <c r="T6" s="8"/>
      <c r="U6" s="8"/>
      <c r="V6" s="8">
        <f>Parameters!C17</f>
        <v>3.1399077404942015E-2</v>
      </c>
      <c r="W6" s="16">
        <f>(V6*$U$3)/(Parameters!B17*POWER(Parameters!$B$8, $C$3))</f>
        <v>7.924881991557213E-2</v>
      </c>
      <c r="X6" s="6">
        <f t="shared" ref="X6:X13" si="18">$U$3*V6</f>
        <v>611103214.92119908</v>
      </c>
      <c r="Y6" s="8">
        <v>1.0886748490444263E-2</v>
      </c>
      <c r="Z6" s="30">
        <f>(Y6*$U$3)/(Parameters!B17*POWER(Parameters!$B$8, $C$3))</f>
        <v>2.7477303216863015E-2</v>
      </c>
      <c r="AA6" s="6">
        <f t="shared" si="5"/>
        <v>211882881.67670402</v>
      </c>
      <c r="AB6" s="3"/>
      <c r="AC6" s="3"/>
      <c r="AD6" s="6">
        <f>Parameters!B17*POWER(Parameters!$B$8,$C$3)</f>
        <v>7711196401.0598392</v>
      </c>
      <c r="AE6" s="6">
        <f>$AE$3*Parameters!E17</f>
        <v>807221114.38830161</v>
      </c>
      <c r="AF6" s="6">
        <f>AD6+AE6-X6</f>
        <v>7907314300.5269423</v>
      </c>
      <c r="AG6" s="6">
        <f t="shared" si="7"/>
        <v>8306534633.7714367</v>
      </c>
      <c r="AH6" s="8">
        <f t="shared" si="8"/>
        <v>296054.13</v>
      </c>
      <c r="AI6" s="6">
        <f>AF6/AH6</f>
        <v>26709.01534299468</v>
      </c>
      <c r="AJ6" s="6">
        <f t="shared" si="0"/>
        <v>28057.486088005044</v>
      </c>
      <c r="AK6" s="19">
        <f t="shared" si="1"/>
        <v>3.5744501140742591</v>
      </c>
      <c r="AL6" s="19">
        <f t="shared" si="10"/>
        <v>13.01924518237918</v>
      </c>
      <c r="AM6" s="19">
        <f t="shared" si="11"/>
        <v>0.99996255945840162</v>
      </c>
      <c r="AN6" s="19">
        <f t="shared" si="2"/>
        <v>4.4266578775763552</v>
      </c>
      <c r="AO6" s="23">
        <f t="shared" si="3"/>
        <v>3.5779074009566165</v>
      </c>
      <c r="AP6" s="23">
        <f t="shared" ref="AP6:AP13" si="19">(AO6-$AO$4)*100</f>
        <v>12.956779217308512</v>
      </c>
      <c r="AQ6" s="23">
        <f t="shared" si="12"/>
        <v>0.99996435888814617</v>
      </c>
      <c r="AR6" s="23">
        <f t="shared" si="4"/>
        <v>4.4480487562498308</v>
      </c>
      <c r="AT6">
        <f t="shared" si="13"/>
        <v>1.8906216210744706</v>
      </c>
      <c r="AX6">
        <f t="shared" si="14"/>
        <v>2.1039624230428533</v>
      </c>
      <c r="BB6">
        <v>1.8915357255300826</v>
      </c>
      <c r="BF6">
        <f t="shared" si="15"/>
        <v>2.1090397711398974</v>
      </c>
      <c r="BI6">
        <f t="shared" si="16"/>
        <v>0.99998127955397331</v>
      </c>
      <c r="BJ6">
        <f t="shared" si="17"/>
        <v>0.9999821792852841</v>
      </c>
    </row>
    <row r="7" spans="1:62" x14ac:dyDescent="0.2">
      <c r="A7">
        <v>4</v>
      </c>
      <c r="D7" s="6"/>
      <c r="F7" s="5"/>
      <c r="G7" s="6"/>
      <c r="H7" s="6"/>
      <c r="I7" s="8"/>
      <c r="J7" s="8"/>
      <c r="K7" s="8"/>
      <c r="L7" s="8"/>
      <c r="M7" s="8"/>
      <c r="N7" s="8">
        <f>$N$3*Parameters!E18</f>
        <v>706318475.08976388</v>
      </c>
      <c r="O7" s="8"/>
      <c r="P7" s="8"/>
      <c r="Q7" s="8"/>
      <c r="R7" s="8"/>
      <c r="S7" s="8"/>
      <c r="T7" s="8"/>
      <c r="U7" s="8"/>
      <c r="V7" s="8">
        <f>Parameters!C18</f>
        <v>5.1692242898110294E-2</v>
      </c>
      <c r="W7" s="16">
        <f>(V7*$U$3)/(Parameters!B18*POWER(Parameters!$B$8, $C$3))</f>
        <v>8.2694420781466549E-2</v>
      </c>
      <c r="X7" s="6">
        <f t="shared" si="18"/>
        <v>1006058089.3549045</v>
      </c>
      <c r="Y7" s="8">
        <v>2.2901398806974758E-2</v>
      </c>
      <c r="Z7" s="30">
        <f>(Y7*$U$3)/(Parameters!B18*POWER(Parameters!$B$8, $C$3))</f>
        <v>3.6636404289150687E-2</v>
      </c>
      <c r="AA7" s="6">
        <f t="shared" si="5"/>
        <v>445717504.90133971</v>
      </c>
      <c r="AB7" s="3"/>
      <c r="AC7" s="3"/>
      <c r="AD7" s="6">
        <f>Parameters!B18*POWER(Parameters!$B$8,$C$3)</f>
        <v>12165972986.419199</v>
      </c>
      <c r="AE7" s="6"/>
      <c r="AF7" s="6">
        <f t="shared" si="6"/>
        <v>11159914897.064295</v>
      </c>
      <c r="AG7" s="6">
        <f t="shared" si="7"/>
        <v>11720255481.517859</v>
      </c>
      <c r="AH7" s="8">
        <f t="shared" si="8"/>
        <v>296054.13</v>
      </c>
      <c r="AI7" s="6">
        <f>AF7/AH7</f>
        <v>37695.521751594191</v>
      </c>
      <c r="AJ7" s="6">
        <f t="shared" si="0"/>
        <v>39588.218146181098</v>
      </c>
      <c r="AK7" s="19">
        <f t="shared" si="1"/>
        <v>3.5977311249349464</v>
      </c>
      <c r="AL7" s="19">
        <f t="shared" si="10"/>
        <v>15.347346268447914</v>
      </c>
      <c r="AM7" s="19">
        <f t="shared" si="11"/>
        <v>0.99997347164985295</v>
      </c>
      <c r="AN7" s="19">
        <f t="shared" si="2"/>
        <v>4.5762897588505416</v>
      </c>
      <c r="AO7" s="23">
        <f t="shared" si="3"/>
        <v>3.6008753336111861</v>
      </c>
      <c r="AP7" s="23">
        <f t="shared" si="19"/>
        <v>15.253572482765465</v>
      </c>
      <c r="AQ7" s="23">
        <f t="shared" si="12"/>
        <v>0.99997473995934072</v>
      </c>
      <c r="AR7" s="23">
        <f t="shared" si="4"/>
        <v>4.5975659547277994</v>
      </c>
      <c r="AT7">
        <f t="shared" si="13"/>
        <v>1.8967686007879154</v>
      </c>
      <c r="AX7">
        <f t="shared" si="14"/>
        <v>2.1392264393585223</v>
      </c>
      <c r="BB7">
        <v>1.8975972527412623</v>
      </c>
      <c r="BF7">
        <f t="shared" si="15"/>
        <v>2.1441935441391009</v>
      </c>
      <c r="BI7">
        <f t="shared" si="16"/>
        <v>0.99998673573695618</v>
      </c>
      <c r="BJ7">
        <f t="shared" si="17"/>
        <v>0.99998736989991066</v>
      </c>
    </row>
    <row r="8" spans="1:62" x14ac:dyDescent="0.2">
      <c r="A8">
        <v>5</v>
      </c>
      <c r="D8" s="6"/>
      <c r="E8" s="5"/>
      <c r="F8" s="6"/>
      <c r="G8" s="6"/>
      <c r="H8" s="6"/>
      <c r="I8" s="8"/>
      <c r="J8" s="8"/>
      <c r="K8" s="6"/>
      <c r="L8" s="6"/>
      <c r="M8" s="6"/>
      <c r="N8" s="8">
        <f>$N$3*Parameters!E19</f>
        <v>605415835.79122615</v>
      </c>
      <c r="O8" s="6"/>
      <c r="P8" s="6"/>
      <c r="Q8" s="6"/>
      <c r="R8" s="6"/>
      <c r="S8" s="6"/>
      <c r="T8" s="6"/>
      <c r="U8" s="6"/>
      <c r="V8" s="8">
        <f>Parameters!C19</f>
        <v>7.0583126136746943E-2</v>
      </c>
      <c r="W8" s="16">
        <f>(V8*$U$3)/(Parameters!B19*POWER(Parameters!$B$8, $C$3))</f>
        <v>8.6140021647361009E-2</v>
      </c>
      <c r="X8" s="6">
        <f t="shared" si="18"/>
        <v>1373721104.7661426</v>
      </c>
      <c r="Y8" s="8">
        <v>3.7524833052111288E-2</v>
      </c>
      <c r="Z8" s="30">
        <f>(Y8*$U$3)/(Parameters!B19*POWER(Parameters!$B$8, $C$3))</f>
        <v>4.5795505361438352E-2</v>
      </c>
      <c r="AA8" s="6">
        <f t="shared" si="5"/>
        <v>730325474.9108392</v>
      </c>
      <c r="AB8" s="3"/>
      <c r="AC8" s="3"/>
      <c r="AD8" s="6">
        <f>Parameters!B19*POWER(Parameters!$B$8,$C$3)</f>
        <v>15947536098.723839</v>
      </c>
      <c r="AE8" s="6"/>
      <c r="AF8" s="6">
        <f t="shared" si="6"/>
        <v>14573814993.957697</v>
      </c>
      <c r="AG8" s="6">
        <f t="shared" si="7"/>
        <v>15217210623.813</v>
      </c>
      <c r="AH8" s="8">
        <f t="shared" si="8"/>
        <v>296054.13</v>
      </c>
      <c r="AI8" s="6">
        <f t="shared" si="9"/>
        <v>49226.859270491164</v>
      </c>
      <c r="AJ8" s="6">
        <f t="shared" si="0"/>
        <v>51400.095731861598</v>
      </c>
      <c r="AK8" s="19">
        <f t="shared" si="1"/>
        <v>3.6143855122995747</v>
      </c>
      <c r="AL8" s="19">
        <f t="shared" si="10"/>
        <v>17.012785004910747</v>
      </c>
      <c r="AM8" s="19">
        <f t="shared" si="11"/>
        <v>0.99997968588663144</v>
      </c>
      <c r="AN8" s="19">
        <f t="shared" si="2"/>
        <v>4.6922021281756336</v>
      </c>
      <c r="AO8" s="23">
        <f t="shared" si="3"/>
        <v>3.6169742072658693</v>
      </c>
      <c r="AP8" s="23">
        <f t="shared" si="19"/>
        <v>16.863459848233788</v>
      </c>
      <c r="AQ8" s="23">
        <f t="shared" si="12"/>
        <v>0.99998054478331677</v>
      </c>
      <c r="AR8" s="23">
        <f t="shared" si="4"/>
        <v>4.7109639278626005</v>
      </c>
      <c r="AT8">
        <f t="shared" si="13"/>
        <v>1.9011537318953391</v>
      </c>
      <c r="AX8">
        <f t="shared" si="14"/>
        <v>2.1661491472600942</v>
      </c>
      <c r="BB8">
        <v>1.9018344321380527</v>
      </c>
      <c r="BF8">
        <f t="shared" si="15"/>
        <v>2.1704755073169104</v>
      </c>
      <c r="BI8">
        <f t="shared" si="16"/>
        <v>0.99998984289173232</v>
      </c>
      <c r="BJ8">
        <f t="shared" si="17"/>
        <v>0.99999027234434479</v>
      </c>
    </row>
    <row r="9" spans="1:62" x14ac:dyDescent="0.2">
      <c r="A9">
        <v>6</v>
      </c>
      <c r="N9" s="8">
        <f>$N$3*Parameters!E20</f>
        <v>504513196.49268854</v>
      </c>
      <c r="O9" s="8"/>
      <c r="P9" s="8"/>
      <c r="Q9" s="8"/>
      <c r="R9" s="8"/>
      <c r="S9" s="8"/>
      <c r="T9" s="8"/>
      <c r="U9" s="8"/>
      <c r="V9" s="8">
        <f>Parameters!C20</f>
        <v>9.0905110853151228E-2</v>
      </c>
      <c r="W9" s="16">
        <f>(V9*$U$3)/(Parameters!B20*POWER(Parameters!$B$8, $C$3))</f>
        <v>9.3031223379149888E-2</v>
      </c>
      <c r="X9" s="6">
        <f t="shared" si="18"/>
        <v>1769236872.1122074</v>
      </c>
      <c r="Y9" s="8">
        <v>5.3698687476024153E-2</v>
      </c>
      <c r="Z9" s="30">
        <f>(Y9*$U$3)/(Parameters!B20*POWER(Parameters!$B$8, $C$3))</f>
        <v>5.4954606433726023E-2</v>
      </c>
      <c r="AA9" s="6">
        <f t="shared" si="5"/>
        <v>1045108432.0229787</v>
      </c>
      <c r="AB9" s="3"/>
      <c r="AC9" s="3"/>
      <c r="AD9" s="6">
        <f>Parameters!B20*POWER(Parameters!$B$8,$C$3)</f>
        <v>19017667486.771198</v>
      </c>
      <c r="AE9" s="6"/>
      <c r="AF9" s="6">
        <f t="shared" si="6"/>
        <v>17248430614.658989</v>
      </c>
      <c r="AG9" s="6">
        <f t="shared" si="7"/>
        <v>17972559054.748219</v>
      </c>
      <c r="AH9" s="8">
        <f t="shared" si="8"/>
        <v>296054.13</v>
      </c>
      <c r="AI9" s="6">
        <f t="shared" si="9"/>
        <v>58261.070753037588</v>
      </c>
      <c r="AJ9" s="6">
        <f t="shared" si="0"/>
        <v>60707.003326547812</v>
      </c>
      <c r="AK9" s="19">
        <f t="shared" si="1"/>
        <v>3.6243197738069113</v>
      </c>
      <c r="AL9" s="19">
        <f t="shared" si="10"/>
        <v>18.006211155644401</v>
      </c>
      <c r="AM9" s="19">
        <f t="shared" si="11"/>
        <v>0.99998283588016712</v>
      </c>
      <c r="AN9" s="19">
        <f t="shared" si="2"/>
        <v>4.7653784620606574</v>
      </c>
      <c r="AO9" s="23">
        <f t="shared" si="3"/>
        <v>3.626679095025156</v>
      </c>
      <c r="AP9" s="23">
        <f t="shared" si="19"/>
        <v>17.833948624162453</v>
      </c>
      <c r="AQ9" s="23">
        <f t="shared" si="12"/>
        <v>0.99998352743595953</v>
      </c>
      <c r="AR9" s="23">
        <f t="shared" si="4"/>
        <v>4.7832387953689919</v>
      </c>
      <c r="AT9">
        <f t="shared" si="13"/>
        <v>1.9037646319350803</v>
      </c>
      <c r="AX9">
        <f t="shared" si="14"/>
        <v>2.1829746819559448</v>
      </c>
      <c r="BB9">
        <v>1.9043841773720858</v>
      </c>
      <c r="BF9">
        <f t="shared" si="15"/>
        <v>2.1870616807417647</v>
      </c>
      <c r="BI9">
        <f t="shared" si="16"/>
        <v>0.99999141790325741</v>
      </c>
      <c r="BJ9">
        <f t="shared" si="17"/>
        <v>0.99999176368406129</v>
      </c>
    </row>
    <row r="10" spans="1:62" x14ac:dyDescent="0.2">
      <c r="A10">
        <v>7</v>
      </c>
      <c r="N10" s="8">
        <f>$N$3*Parameters!E21</f>
        <v>403610557.19415081</v>
      </c>
      <c r="V10" s="8">
        <f>Parameters!C21</f>
        <v>0.11035602414482847</v>
      </c>
      <c r="W10" s="16">
        <f>(V10*$U$3)/(Parameters!B21*POWER(Parameters!$B$8, $C$3))</f>
        <v>9.6476824245044335E-2</v>
      </c>
      <c r="X10" s="6">
        <f t="shared" si="18"/>
        <v>2147799448.7255759</v>
      </c>
      <c r="Y10" s="8">
        <v>8.3813868210341438E-2</v>
      </c>
      <c r="Z10" s="30">
        <f>(Y10*$U$3)/(Parameters!B21*POWER(Parameters!$B$8, $C$3))</f>
        <v>7.327280857830136E-2</v>
      </c>
      <c r="AA10" s="6">
        <f t="shared" si="5"/>
        <v>1631223862.3374267</v>
      </c>
      <c r="AD10" s="6">
        <f>Parameters!B21*POWER(Parameters!$B$8,$C$3)</f>
        <v>22262335701.16608</v>
      </c>
      <c r="AE10" s="6"/>
      <c r="AF10" s="6">
        <f t="shared" si="6"/>
        <v>20114536252.440506</v>
      </c>
      <c r="AG10" s="6">
        <f t="shared" si="7"/>
        <v>20631111838.828655</v>
      </c>
      <c r="AH10" s="8">
        <f t="shared" si="8"/>
        <v>296054.13</v>
      </c>
      <c r="AI10" s="6">
        <f t="shared" si="9"/>
        <v>67942.089686235777</v>
      </c>
      <c r="AJ10" s="6">
        <f t="shared" si="0"/>
        <v>69686.958391118053</v>
      </c>
      <c r="AK10" s="19">
        <f t="shared" si="1"/>
        <v>3.6330111093333892</v>
      </c>
      <c r="AL10" s="19">
        <f t="shared" si="10"/>
        <v>18.875344708292197</v>
      </c>
      <c r="AM10" s="19">
        <f t="shared" si="11"/>
        <v>0.99998528158311561</v>
      </c>
      <c r="AN10" s="19">
        <f t="shared" si="2"/>
        <v>4.8321389002797321</v>
      </c>
      <c r="AO10" s="23">
        <f t="shared" si="3"/>
        <v>3.6344117248923005</v>
      </c>
      <c r="AP10" s="23">
        <f t="shared" si="19"/>
        <v>18.607211610876906</v>
      </c>
      <c r="AQ10" s="23">
        <f t="shared" si="12"/>
        <v>0.99998565011268836</v>
      </c>
      <c r="AR10" s="23">
        <f t="shared" si="4"/>
        <v>4.8431515093931825</v>
      </c>
      <c r="AT10">
        <f t="shared" si="13"/>
        <v>1.9060459357878523</v>
      </c>
      <c r="AX10">
        <f t="shared" si="14"/>
        <v>2.1982126603856442</v>
      </c>
      <c r="BB10">
        <v>1.9064133142874082</v>
      </c>
      <c r="BF10">
        <f t="shared" si="15"/>
        <v>2.2007161355779581</v>
      </c>
      <c r="BI10">
        <f t="shared" si="16"/>
        <v>0.99999264076447858</v>
      </c>
      <c r="BJ10">
        <f t="shared" si="17"/>
        <v>0.99999282503060405</v>
      </c>
    </row>
    <row r="11" spans="1:62" x14ac:dyDescent="0.2">
      <c r="A11">
        <v>8</v>
      </c>
      <c r="N11" s="8">
        <f>$N$3*Parameters!E22</f>
        <v>302707917.89561307</v>
      </c>
      <c r="V11" s="8">
        <f>Parameters!C22</f>
        <v>0.13623161609900061</v>
      </c>
      <c r="W11" s="16">
        <f>(V11*$U$3)/(Parameters!B22*POWER(Parameters!$B$8, $C$3))</f>
        <v>9.9922425110938753E-2</v>
      </c>
      <c r="X11" s="6">
        <f t="shared" si="18"/>
        <v>2651402061.8614287</v>
      </c>
      <c r="Y11" s="8">
        <v>0.13736006243615159</v>
      </c>
      <c r="Z11" s="30">
        <f>(Y11*$U$3)/(Parameters!B22*POWER(Parameters!$B$8, $C$3))</f>
        <v>0.10075011179516438</v>
      </c>
      <c r="AA11" s="6">
        <f t="shared" si="5"/>
        <v>2673364400.9329095</v>
      </c>
      <c r="AD11" s="6">
        <f>Parameters!B22*POWER(Parameters!$B$8,$C$3)</f>
        <v>26534604808.857597</v>
      </c>
      <c r="AE11" s="6"/>
      <c r="AF11" s="6">
        <f t="shared" si="6"/>
        <v>23883202746.99617</v>
      </c>
      <c r="AG11" s="6">
        <f t="shared" si="7"/>
        <v>23861240407.924686</v>
      </c>
      <c r="AH11" s="8">
        <f t="shared" si="8"/>
        <v>296054.13</v>
      </c>
      <c r="AI11" s="6">
        <f t="shared" si="9"/>
        <v>80671.743194381954</v>
      </c>
      <c r="AJ11" s="6">
        <f t="shared" si="0"/>
        <v>80597.559668985821</v>
      </c>
      <c r="AK11" s="19">
        <f t="shared" si="1"/>
        <v>3.6423186961763658</v>
      </c>
      <c r="AL11" s="19">
        <f t="shared" si="10"/>
        <v>19.806103392589858</v>
      </c>
      <c r="AM11" s="19">
        <f t="shared" si="11"/>
        <v>0.99998760408588683</v>
      </c>
      <c r="AN11" s="19">
        <f t="shared" si="2"/>
        <v>4.9067214414913893</v>
      </c>
      <c r="AO11" s="23">
        <f t="shared" si="3"/>
        <v>3.6422699332058759</v>
      </c>
      <c r="AP11" s="23">
        <f t="shared" si="19"/>
        <v>19.39303244223445</v>
      </c>
      <c r="AQ11" s="23">
        <f t="shared" si="12"/>
        <v>0.99998759267645188</v>
      </c>
      <c r="AR11" s="23">
        <f t="shared" si="4"/>
        <v>4.9063218924460594</v>
      </c>
      <c r="AT11">
        <f t="shared" si="13"/>
        <v>1.908485969604274</v>
      </c>
      <c r="AX11">
        <f t="shared" si="14"/>
        <v>2.2151120607074013</v>
      </c>
      <c r="BB11">
        <v>1.9084731942591899</v>
      </c>
      <c r="BF11">
        <f t="shared" si="15"/>
        <v>2.2150218717760013</v>
      </c>
      <c r="BI11">
        <f t="shared" si="16"/>
        <v>0.999993802023736</v>
      </c>
      <c r="BJ11">
        <f t="shared" si="17"/>
        <v>0.99999379631898311</v>
      </c>
    </row>
    <row r="12" spans="1:62" x14ac:dyDescent="0.2">
      <c r="A12">
        <v>9</v>
      </c>
      <c r="N12" s="8">
        <f>$N$3*Parameters!E23</f>
        <v>201805278.5970754</v>
      </c>
      <c r="V12" s="8">
        <f>Parameters!C23</f>
        <v>0.17539672338276532</v>
      </c>
      <c r="W12" s="16">
        <f>(V12*$U$3)/(Parameters!B23*POWER(Parameters!$B$8, $C$3))</f>
        <v>0.1033680259768332</v>
      </c>
      <c r="X12" s="6">
        <f t="shared" si="18"/>
        <v>3413651304.5756502</v>
      </c>
      <c r="Y12" s="8">
        <v>0.21757858127224192</v>
      </c>
      <c r="Z12" s="30">
        <f>(Y12*$U$3)/(Parameters!B23*POWER(Parameters!$B$8, $C$3))</f>
        <v>0.12822741501202736</v>
      </c>
      <c r="AA12" s="6">
        <f t="shared" si="5"/>
        <v>4234613928.2593346</v>
      </c>
      <c r="AD12" s="6">
        <f>Parameters!B23*POWER(Parameters!$B$8,$C$3)</f>
        <v>33024247801.159679</v>
      </c>
      <c r="AE12" s="6"/>
      <c r="AF12" s="6">
        <f t="shared" si="6"/>
        <v>29610596496.58403</v>
      </c>
      <c r="AG12" s="6">
        <f t="shared" si="7"/>
        <v>28789633872.900345</v>
      </c>
      <c r="AH12" s="8">
        <f t="shared" si="8"/>
        <v>296054.13</v>
      </c>
      <c r="AI12" s="6">
        <f t="shared" si="9"/>
        <v>100017.5086109558</v>
      </c>
      <c r="AJ12" s="6">
        <f t="shared" si="0"/>
        <v>97244.493339445544</v>
      </c>
      <c r="AK12" s="19">
        <f t="shared" si="1"/>
        <v>3.653398299652459</v>
      </c>
      <c r="AL12" s="19">
        <f t="shared" si="10"/>
        <v>20.914063740199175</v>
      </c>
      <c r="AM12" s="19">
        <f t="shared" si="11"/>
        <v>0.99999000175055464</v>
      </c>
      <c r="AN12" s="19">
        <f t="shared" si="2"/>
        <v>5.0000760322753353</v>
      </c>
      <c r="AO12" s="23">
        <f t="shared" si="3"/>
        <v>3.6519840174987861</v>
      </c>
      <c r="AP12" s="23">
        <f t="shared" si="19"/>
        <v>20.364440871525467</v>
      </c>
      <c r="AQ12" s="23">
        <f t="shared" si="12"/>
        <v>0.99998971664136793</v>
      </c>
      <c r="AR12" s="23">
        <f t="shared" si="4"/>
        <v>4.9878650179154498</v>
      </c>
      <c r="AT12">
        <f t="shared" si="13"/>
        <v>1.9113864862064027</v>
      </c>
      <c r="AX12">
        <f t="shared" si="14"/>
        <v>2.2360849787687709</v>
      </c>
      <c r="BB12">
        <v>1.9110164880237914</v>
      </c>
      <c r="BF12">
        <f t="shared" si="15"/>
        <v>2.2333528646220349</v>
      </c>
      <c r="BI12">
        <f t="shared" si="16"/>
        <v>0.99999500086278159</v>
      </c>
      <c r="BJ12">
        <f t="shared" si="17"/>
        <v>0.99999485830746548</v>
      </c>
    </row>
    <row r="13" spans="1:62" x14ac:dyDescent="0.2">
      <c r="A13">
        <v>10</v>
      </c>
      <c r="N13" s="8">
        <f>$N$3*Parameters!E24</f>
        <v>100902639.2985377</v>
      </c>
      <c r="V13" s="8">
        <f>Parameters!C24</f>
        <v>0.31542540330404345</v>
      </c>
      <c r="W13" s="16">
        <f>(V13*$U$3)/(Parameters!B24*POWER(Parameters!$B$8, $C$3))</f>
        <v>0.10681362684272765</v>
      </c>
      <c r="X13" s="6">
        <f t="shared" si="18"/>
        <v>6138953560.3545456</v>
      </c>
      <c r="Y13" s="8">
        <v>0.43275574250579357</v>
      </c>
      <c r="Z13" s="30">
        <f>(Y13*$U$3)/(Parameters!B24*POWER(Parameters!$B$8, $C$3))</f>
        <v>0.14654561715660272</v>
      </c>
      <c r="AA13" s="6">
        <f t="shared" si="5"/>
        <v>8422490320.6639109</v>
      </c>
      <c r="AD13" s="6">
        <f>Parameters!B24*POWER(Parameters!$B$8,$C$3)</f>
        <v>57473505411.379196</v>
      </c>
      <c r="AE13" s="6"/>
      <c r="AF13" s="6">
        <f t="shared" si="6"/>
        <v>51334551851.024651</v>
      </c>
      <c r="AG13" s="6">
        <f t="shared" si="7"/>
        <v>49051015090.715286</v>
      </c>
      <c r="AH13" s="8">
        <f t="shared" si="8"/>
        <v>296054.13</v>
      </c>
      <c r="AI13" s="6">
        <f t="shared" si="9"/>
        <v>173395.83086047356</v>
      </c>
      <c r="AJ13" s="6">
        <f t="shared" si="0"/>
        <v>165682.59017604412</v>
      </c>
      <c r="AK13" s="19">
        <f t="shared" si="1"/>
        <v>3.6790922591204702</v>
      </c>
      <c r="AL13" s="19">
        <f t="shared" si="10"/>
        <v>23.483459687000298</v>
      </c>
      <c r="AM13" s="19">
        <f t="shared" si="11"/>
        <v>0.99999423284865019</v>
      </c>
      <c r="AN13" s="19">
        <f t="shared" si="2"/>
        <v>5.2390386510637326</v>
      </c>
      <c r="AO13" s="23">
        <f t="shared" si="3"/>
        <v>3.6771040449378178</v>
      </c>
      <c r="AP13" s="23">
        <f t="shared" si="19"/>
        <v>22.876443615428641</v>
      </c>
      <c r="AQ13" s="23">
        <f t="shared" si="12"/>
        <v>0.99999396436282817</v>
      </c>
      <c r="AR13" s="23">
        <f t="shared" si="4"/>
        <v>5.2192768754216718</v>
      </c>
      <c r="AT13">
        <f t="shared" si="13"/>
        <v>1.9180959984110468</v>
      </c>
      <c r="AX13">
        <f t="shared" si="14"/>
        <v>2.2888946352035808</v>
      </c>
      <c r="BB13">
        <v>1.9175776503020205</v>
      </c>
      <c r="BF13">
        <f t="shared" si="15"/>
        <v>2.2845736747633403</v>
      </c>
      <c r="BI13">
        <f t="shared" si="16"/>
        <v>0.99999711642016753</v>
      </c>
      <c r="BJ13">
        <f t="shared" si="17"/>
        <v>0.9999969821768605</v>
      </c>
    </row>
    <row r="14" spans="1:62" x14ac:dyDescent="0.2">
      <c r="I14" s="24"/>
      <c r="N14" s="8"/>
      <c r="V14" s="29"/>
    </row>
    <row r="15" spans="1:62" x14ac:dyDescent="0.2">
      <c r="A15" s="2" t="s">
        <v>90</v>
      </c>
      <c r="B15" s="51" t="s">
        <v>39</v>
      </c>
      <c r="C15" s="51"/>
      <c r="D15" s="51" t="s">
        <v>47</v>
      </c>
      <c r="E15" s="51"/>
      <c r="F15" s="51"/>
      <c r="G15" s="51"/>
      <c r="H15" s="52"/>
      <c r="I15" s="51"/>
      <c r="J15" s="51"/>
      <c r="K15" s="51"/>
      <c r="L15" s="51"/>
      <c r="M15" s="51"/>
      <c r="N15" s="51"/>
      <c r="O15" s="15"/>
      <c r="P15" s="15"/>
      <c r="Q15" s="15"/>
      <c r="R15" s="15"/>
      <c r="S15" s="15"/>
      <c r="T15" s="15"/>
      <c r="U15" s="15"/>
      <c r="V15" s="51" t="s">
        <v>157</v>
      </c>
      <c r="W15" s="51"/>
      <c r="X15" s="51"/>
      <c r="Y15" s="51" t="s">
        <v>159</v>
      </c>
      <c r="Z15" s="51"/>
      <c r="AA15" s="51"/>
      <c r="AB15" s="51" t="s">
        <v>91</v>
      </c>
      <c r="AC15" s="51"/>
      <c r="AD15" s="51" t="s">
        <v>48</v>
      </c>
      <c r="AE15" s="51"/>
      <c r="AF15" s="2" t="s">
        <v>183</v>
      </c>
      <c r="AG15" s="15" t="s">
        <v>87</v>
      </c>
      <c r="AH15" s="2" t="s">
        <v>92</v>
      </c>
      <c r="AI15" s="2" t="s">
        <v>184</v>
      </c>
      <c r="AJ15" s="15" t="s">
        <v>93</v>
      </c>
      <c r="AK15" s="51" t="s">
        <v>205</v>
      </c>
      <c r="AL15" s="51"/>
      <c r="AM15" s="51"/>
      <c r="AN15" s="51"/>
      <c r="AO15" s="51" t="s">
        <v>210</v>
      </c>
      <c r="AP15" s="51"/>
      <c r="AQ15" s="51"/>
      <c r="AR15" s="51"/>
      <c r="AS15" s="51" t="s">
        <v>215</v>
      </c>
      <c r="AT15" s="51"/>
      <c r="AU15" s="51"/>
      <c r="AV15" s="51"/>
      <c r="AW15" s="53" t="s">
        <v>216</v>
      </c>
      <c r="AX15" s="53"/>
      <c r="AY15" s="53"/>
      <c r="AZ15" s="53"/>
      <c r="BA15" s="51" t="s">
        <v>217</v>
      </c>
      <c r="BB15" s="51"/>
      <c r="BC15" s="51"/>
      <c r="BD15" s="51"/>
      <c r="BE15" s="51" t="s">
        <v>218</v>
      </c>
      <c r="BF15" s="51"/>
      <c r="BG15" s="51"/>
      <c r="BH15" s="51"/>
    </row>
    <row r="16" spans="1:62" x14ac:dyDescent="0.2">
      <c r="A16" s="9"/>
      <c r="B16" s="9" t="s">
        <v>39</v>
      </c>
      <c r="C16" s="9" t="s">
        <v>52</v>
      </c>
      <c r="D16" s="9" t="s">
        <v>53</v>
      </c>
      <c r="E16" s="9" t="s">
        <v>54</v>
      </c>
      <c r="F16" s="9" t="s">
        <v>55</v>
      </c>
      <c r="G16" s="9" t="s">
        <v>56</v>
      </c>
      <c r="H16" s="9" t="s">
        <v>57</v>
      </c>
      <c r="I16" s="9" t="s">
        <v>94</v>
      </c>
      <c r="J16" s="9" t="s">
        <v>59</v>
      </c>
      <c r="K16" s="9" t="s">
        <v>60</v>
      </c>
      <c r="L16" s="9" t="s">
        <v>61</v>
      </c>
      <c r="M16" s="9" t="s">
        <v>62</v>
      </c>
      <c r="N16" s="9" t="s">
        <v>95</v>
      </c>
      <c r="O16" s="9" t="s">
        <v>58</v>
      </c>
      <c r="P16" s="9" t="s">
        <v>59</v>
      </c>
      <c r="Q16" s="9" t="s">
        <v>60</v>
      </c>
      <c r="R16" s="9" t="s">
        <v>61</v>
      </c>
      <c r="S16" s="9" t="s">
        <v>62</v>
      </c>
      <c r="T16" s="11" t="s">
        <v>63</v>
      </c>
      <c r="U16" s="9" t="s">
        <v>96</v>
      </c>
      <c r="V16" s="9" t="s">
        <v>64</v>
      </c>
      <c r="W16" s="9" t="s">
        <v>97</v>
      </c>
      <c r="X16" s="9" t="s">
        <v>66</v>
      </c>
      <c r="Y16" s="9" t="s">
        <v>64</v>
      </c>
      <c r="Z16" s="9" t="s">
        <v>97</v>
      </c>
      <c r="AA16" s="9" t="s">
        <v>66</v>
      </c>
      <c r="AB16" s="9" t="s">
        <v>98</v>
      </c>
      <c r="AC16" s="9" t="s">
        <v>99</v>
      </c>
      <c r="AD16" s="9" t="s">
        <v>100</v>
      </c>
      <c r="AE16" s="9" t="s">
        <v>68</v>
      </c>
      <c r="AF16" s="9" t="s">
        <v>101</v>
      </c>
      <c r="AG16" s="9" t="s">
        <v>101</v>
      </c>
      <c r="AH16" s="9"/>
      <c r="AI16" s="9"/>
      <c r="AJ16" s="9"/>
      <c r="AK16" s="9" t="s">
        <v>163</v>
      </c>
      <c r="AL16" s="9" t="s">
        <v>185</v>
      </c>
      <c r="AM16" s="9" t="s">
        <v>179</v>
      </c>
      <c r="AN16" s="9" t="s">
        <v>250</v>
      </c>
      <c r="AO16" s="9" t="s">
        <v>163</v>
      </c>
      <c r="AP16" s="9" t="s">
        <v>185</v>
      </c>
      <c r="AQ16" s="9" t="s">
        <v>179</v>
      </c>
      <c r="AR16" s="9" t="s">
        <v>250</v>
      </c>
      <c r="AS16" s="17" t="s">
        <v>49</v>
      </c>
      <c r="AT16" s="9" t="s">
        <v>72</v>
      </c>
      <c r="AU16" s="9" t="s">
        <v>50</v>
      </c>
      <c r="AV16" s="9" t="s">
        <v>51</v>
      </c>
      <c r="AW16" s="17" t="s">
        <v>49</v>
      </c>
      <c r="AX16" s="9" t="s">
        <v>72</v>
      </c>
      <c r="AY16" s="9" t="s">
        <v>50</v>
      </c>
      <c r="AZ16" s="9" t="s">
        <v>51</v>
      </c>
      <c r="BA16" s="9" t="s">
        <v>49</v>
      </c>
      <c r="BB16" s="9" t="s">
        <v>72</v>
      </c>
      <c r="BC16" s="9" t="s">
        <v>50</v>
      </c>
      <c r="BD16" s="9" t="s">
        <v>51</v>
      </c>
      <c r="BE16" s="9" t="s">
        <v>49</v>
      </c>
      <c r="BF16" s="9" t="s">
        <v>72</v>
      </c>
      <c r="BG16" s="9" t="s">
        <v>50</v>
      </c>
      <c r="BH16" s="9" t="s">
        <v>51</v>
      </c>
    </row>
    <row r="17" spans="1:60" x14ac:dyDescent="0.2">
      <c r="A17" t="s">
        <v>77</v>
      </c>
      <c r="B17">
        <v>2040</v>
      </c>
      <c r="C17">
        <v>16</v>
      </c>
      <c r="D17" s="6">
        <f>Parameters!$B$4</f>
        <v>27012.440000000002</v>
      </c>
      <c r="E17">
        <f>Parameters!$B$5</f>
        <v>20778.68</v>
      </c>
      <c r="F17" s="5">
        <f>Parameters!$B$8</f>
        <v>1.01088</v>
      </c>
      <c r="G17" s="6">
        <f>D17*POWER(F17,C17)</f>
        <v>32118.664788541773</v>
      </c>
      <c r="H17" s="6">
        <f>E17*POWER(F17,C17)</f>
        <v>24706.522538074205</v>
      </c>
      <c r="I17" s="8">
        <f>Parameters!B3*Parameters!B40</f>
        <v>320687.09999999998</v>
      </c>
      <c r="J17" s="8">
        <f>I17*Parameters!$B$10</f>
        <v>134688.58199999999</v>
      </c>
      <c r="K17" s="8">
        <f>I17*Parameters!$B$9</f>
        <v>185998.51799999998</v>
      </c>
      <c r="L17" s="8">
        <f>J17*G17</f>
        <v>4326017416.1020212</v>
      </c>
      <c r="M17" s="8">
        <f>K17*H17</f>
        <v>4595376577.0153999</v>
      </c>
      <c r="N17" s="8">
        <f>M17+L17</f>
        <v>8921393993.1174202</v>
      </c>
      <c r="O17" s="8">
        <f>Parameters!B40</f>
        <v>1287900</v>
      </c>
      <c r="P17" s="8">
        <f>O17*Parameters!$B$10</f>
        <v>540918</v>
      </c>
      <c r="Q17" s="8">
        <f>O17*Parameters!$B$9</f>
        <v>746982</v>
      </c>
      <c r="R17" s="8">
        <f>P17*G17</f>
        <v>17373563920.08844</v>
      </c>
      <c r="S17" s="8">
        <f>Q17*H17</f>
        <v>18455327618.535748</v>
      </c>
      <c r="T17" s="14">
        <f>S17+R17</f>
        <v>35828891538.624191</v>
      </c>
      <c r="U17" s="8">
        <f>T17-SUM(N21:N27)</f>
        <v>31287090960.309868</v>
      </c>
      <c r="AA17" s="6">
        <f>SUM(AA18:AA27)</f>
        <v>31287090960.309872</v>
      </c>
      <c r="AB17" s="3">
        <f>Parameters!C40*Parameters!B2</f>
        <v>3054491</v>
      </c>
      <c r="AC17" s="3">
        <f>AB17+I17</f>
        <v>3375178.1</v>
      </c>
      <c r="AD17" s="6">
        <f>SUM(AD18:AD27)</f>
        <v>231144320131.69318</v>
      </c>
      <c r="AE17" s="6">
        <f>N17</f>
        <v>8921393993.1174202</v>
      </c>
      <c r="AF17" s="6">
        <f>AD17+AE17-X17</f>
        <v>240065714124.81061</v>
      </c>
      <c r="AG17" s="6">
        <f>AD17+AE17-AA17</f>
        <v>208778623164.50073</v>
      </c>
      <c r="AH17" s="6"/>
      <c r="AI17" s="6"/>
      <c r="AJ17" s="6"/>
      <c r="AM17" t="s">
        <v>147</v>
      </c>
      <c r="AN17" t="s">
        <v>147</v>
      </c>
      <c r="AQ17" t="s">
        <v>147</v>
      </c>
      <c r="AR17" t="s">
        <v>147</v>
      </c>
      <c r="AS17" s="18">
        <f>SUM(AL18:AL27)</f>
        <v>161.28592493295591</v>
      </c>
      <c r="AU17">
        <f>SUM(AT18:AT27)</f>
        <v>18.964986674691186</v>
      </c>
      <c r="AV17" s="16">
        <f>MIN(AK19:AK27)</f>
        <v>3.5253718777961041</v>
      </c>
      <c r="AW17" s="16">
        <f>SUM(AN18:AN27)</f>
        <v>46.251859847827681</v>
      </c>
      <c r="AX17" s="16"/>
      <c r="AY17" s="16">
        <f>SUM(AX18:AX27)</f>
        <v>21.48413093880248</v>
      </c>
      <c r="AZ17" s="16">
        <f>MIN(AN19:AN27)</f>
        <v>4.1492950157085335</v>
      </c>
      <c r="BA17" s="23">
        <f>SUM(AP18:AP27)</f>
        <v>157.53797458279101</v>
      </c>
      <c r="BC17" s="23">
        <f>SUM(BB18:BB27)</f>
        <v>18.971750300725304</v>
      </c>
      <c r="BD17" s="23">
        <f>MIN(AO19:AO27)</f>
        <v>3.5311020620968945</v>
      </c>
      <c r="BE17" s="23">
        <f>SUM(AR18:AR27)</f>
        <v>46.389106563015332</v>
      </c>
      <c r="BG17">
        <f>SUM(BF17:BF27)</f>
        <v>21.517590316086455</v>
      </c>
      <c r="BH17" s="23">
        <f>MIN(AR19:AR27)</f>
        <v>4.1794027260519062</v>
      </c>
    </row>
    <row r="18" spans="1:60" x14ac:dyDescent="0.2">
      <c r="A18">
        <v>1</v>
      </c>
      <c r="D18" s="6"/>
      <c r="F18" s="5"/>
      <c r="G18" s="6"/>
      <c r="H18" s="6"/>
      <c r="I18" s="8"/>
      <c r="J18" s="8"/>
      <c r="K18" s="8"/>
      <c r="L18" s="8"/>
      <c r="M18" s="8"/>
      <c r="N18" s="8">
        <f>$N$17*Parameters!E15</f>
        <v>1622071635.1122582</v>
      </c>
      <c r="O18" s="8"/>
      <c r="P18" s="8"/>
      <c r="Q18" s="8"/>
      <c r="R18" s="8"/>
      <c r="S18" s="8"/>
      <c r="T18" s="8"/>
      <c r="U18" s="8"/>
      <c r="V18" s="16" cm="1">
        <f t="array" ref="V18:V27">Parameters!C15:C24</f>
        <v>3.6096393698449797E-3</v>
      </c>
      <c r="W18" s="16">
        <f>(V18*$U$17)/(Parameters!B15*POWER(Parameters!$B$8, $C$17))</f>
        <v>0.11900851092001316</v>
      </c>
      <c r="X18" s="6">
        <f>$U$17*V18</f>
        <v>112935115.29825547</v>
      </c>
      <c r="Y18" s="8">
        <f>Parameters!D15</f>
        <v>0</v>
      </c>
      <c r="Z18" s="8">
        <f>(Y18*$U$17)/(Parameters!B15*POWER(Parameters!$B$8, $C$17))</f>
        <v>0</v>
      </c>
      <c r="AA18" s="6">
        <f>$U$17*Y18</f>
        <v>0</v>
      </c>
      <c r="AB18" s="3"/>
      <c r="AC18" s="3"/>
      <c r="AD18" s="6">
        <f>Parameters!B15*POWER(Parameters!$B$8, $C$17)</f>
        <v>948966711.91995943</v>
      </c>
      <c r="AE18" s="6">
        <f>$AE$3*Parameters!E15</f>
        <v>1009026392.9853771</v>
      </c>
      <c r="AF18" s="6">
        <f>AD18+AE18-X18</f>
        <v>1845057989.6070809</v>
      </c>
      <c r="AG18" s="6">
        <f t="shared" ref="AG18:AG27" si="20">AD18+AE18-AA18</f>
        <v>1957993104.9053364</v>
      </c>
      <c r="AH18" s="8">
        <f>($AB$17+$I$17)/10</f>
        <v>337517.81</v>
      </c>
      <c r="AI18" s="6">
        <f>AF18/AH18</f>
        <v>5466.5500158556997</v>
      </c>
      <c r="AJ18" s="6">
        <f t="shared" ref="AJ18:AJ27" si="21">AG18/AH18</f>
        <v>5801.1549224775317</v>
      </c>
      <c r="AK18" s="19">
        <f t="shared" ref="AK18:AK27" si="22">(POWER(AI18, -0.26) - 1)/-0.26</f>
        <v>3.4357407719804312</v>
      </c>
      <c r="AL18" s="19">
        <f>(AK18-$AK$18)*100</f>
        <v>0</v>
      </c>
      <c r="AM18" s="19">
        <f>(POWER(AI18, -1) - 1)/-1</f>
        <v>0.99981706926725278</v>
      </c>
      <c r="AN18" s="19">
        <f t="shared" ref="AN18:AN27" si="23">LOG(AI18)</f>
        <v>3.7377133260090045</v>
      </c>
      <c r="AO18" s="23">
        <f t="shared" ref="AO18:AO27" si="24">(POWER(AJ18, -0.26) - 1)/-0.26</f>
        <v>3.4420314759599751</v>
      </c>
      <c r="AP18" s="23">
        <f>(AO18-$AO$18)*100</f>
        <v>0</v>
      </c>
      <c r="AQ18" s="23">
        <f>(POWER(AJ18, -1) - 1)/-1</f>
        <v>0.99982762053188312</v>
      </c>
      <c r="AR18" s="23">
        <f t="shared" ref="AR18:AR27" si="25">LOG(AJ18)</f>
        <v>3.7635144636538942</v>
      </c>
      <c r="AT18" cm="1">
        <f t="array" ref="AT18:AT27">SQRT(AK18:AK27)</f>
        <v>1.8535751325426308</v>
      </c>
      <c r="AX18">
        <f>SQRT(AN18)</f>
        <v>1.9333166647005877</v>
      </c>
      <c r="BB18" cm="1">
        <f t="array" ref="BB18:BB27">SQRT(AO18:AO27)</f>
        <v>1.8552712674862335</v>
      </c>
      <c r="BF18">
        <f>SQRT(AR18)</f>
        <v>1.9399779544247131</v>
      </c>
    </row>
    <row r="19" spans="1:60" x14ac:dyDescent="0.2">
      <c r="A19">
        <v>2</v>
      </c>
      <c r="D19" s="6"/>
      <c r="F19" s="5"/>
      <c r="G19" s="6"/>
      <c r="H19" s="6"/>
      <c r="I19" s="8"/>
      <c r="J19" s="8"/>
      <c r="K19" s="8"/>
      <c r="L19" s="8"/>
      <c r="M19" s="8"/>
      <c r="N19" s="8">
        <f>$N$17*Parameters!E16</f>
        <v>1459864471.6010325</v>
      </c>
      <c r="O19" s="8"/>
      <c r="P19" s="8"/>
      <c r="Q19" s="8"/>
      <c r="R19" s="8"/>
      <c r="S19" s="8"/>
      <c r="T19" s="8"/>
      <c r="U19" s="8"/>
      <c r="V19" s="8">
        <v>1.4401036406566694E-2</v>
      </c>
      <c r="W19" s="16">
        <f>(V19*$U$17)/(Parameters!B16*POWER(Parameters!$B$8, $C$17))</f>
        <v>0.10472748960961158</v>
      </c>
      <c r="X19" s="6">
        <f t="shared" ref="X19:X27" si="26">$U$17*V19</f>
        <v>450566535.97498614</v>
      </c>
      <c r="Y19" s="8">
        <f>Parameters!D16</f>
        <v>3.4800777499171295E-3</v>
      </c>
      <c r="Z19" s="8">
        <f>(Y19*$U$17)/(Parameters!B16*POWER(Parameters!$B$8, $C$17))</f>
        <v>2.5307887301006853E-2</v>
      </c>
      <c r="AA19" s="6">
        <f t="shared" ref="AA19:AA27" si="27">$U$17*Y19</f>
        <v>108881509.11060773</v>
      </c>
      <c r="AB19" s="3"/>
      <c r="AC19" s="3"/>
      <c r="AD19" s="6">
        <f>Parameters!B16*POWER(Parameters!$B$8, $C$17)</f>
        <v>4302275722.0147715</v>
      </c>
      <c r="AE19" s="6">
        <f>$AE$3*Parameters!E16</f>
        <v>908123753.68683934</v>
      </c>
      <c r="AF19" s="6">
        <f t="shared" ref="AF19:AF27" si="28">AD19+AE19-X19</f>
        <v>4759832939.7266245</v>
      </c>
      <c r="AG19" s="6">
        <f t="shared" si="20"/>
        <v>5101517966.5910025</v>
      </c>
      <c r="AH19" s="8">
        <f t="shared" ref="AH19:AH27" si="29">($AB$17+$I$17)/10</f>
        <v>337517.81</v>
      </c>
      <c r="AI19" s="6">
        <f t="shared" ref="AI19:AI27" si="30">AF19/AH19</f>
        <v>14102.464518025359</v>
      </c>
      <c r="AJ19" s="6">
        <f t="shared" si="21"/>
        <v>15114.811175715446</v>
      </c>
      <c r="AK19" s="19">
        <f t="shared" si="22"/>
        <v>3.5253718777961041</v>
      </c>
      <c r="AL19" s="19">
        <f t="shared" ref="AL19:AL27" si="31">(AK19-$AK$18)*100</f>
        <v>8.9631105815672907</v>
      </c>
      <c r="AM19" s="19">
        <f t="shared" ref="AM19:AM27" si="32">(POWER(AI19, -1) - 1)/-1</f>
        <v>0.99992909040836642</v>
      </c>
      <c r="AN19" s="19">
        <f t="shared" si="23"/>
        <v>4.1492950157085335</v>
      </c>
      <c r="AO19" s="23">
        <f t="shared" si="24"/>
        <v>3.5311020620968945</v>
      </c>
      <c r="AP19" s="23">
        <f t="shared" ref="AP19:AP27" si="33">(AO19-$AO$18)*100</f>
        <v>8.9070586136919427</v>
      </c>
      <c r="AQ19" s="23">
        <f t="shared" ref="AQ19:AQ27" si="34">(POWER(AJ19, -1) - 1)/-1</f>
        <v>0.99993383972923156</v>
      </c>
      <c r="AR19" s="23">
        <f t="shared" si="25"/>
        <v>4.1794027260519062</v>
      </c>
      <c r="AT19">
        <v>1.8775973683929428</v>
      </c>
      <c r="AX19">
        <f t="shared" ref="AX19:AX27" si="35">SQRT(AN19)</f>
        <v>2.0369818398082331</v>
      </c>
      <c r="BB19">
        <v>1.8791226841526059</v>
      </c>
      <c r="BF19">
        <f t="shared" ref="BF19:BF27" si="36">SQRT(AR19)</f>
        <v>2.0443587566892232</v>
      </c>
    </row>
    <row r="20" spans="1:60" x14ac:dyDescent="0.2">
      <c r="A20">
        <v>3</v>
      </c>
      <c r="D20" s="6"/>
      <c r="F20" s="5"/>
      <c r="G20" s="6"/>
      <c r="H20" s="6"/>
      <c r="I20" s="8"/>
      <c r="J20" s="8"/>
      <c r="K20" s="8"/>
      <c r="L20" s="8"/>
      <c r="M20" s="8"/>
      <c r="N20" s="8">
        <f>$N$17*Parameters!E17</f>
        <v>1297657308.0898066</v>
      </c>
      <c r="O20" s="8"/>
      <c r="P20" s="8"/>
      <c r="Q20" s="8"/>
      <c r="R20" s="8"/>
      <c r="S20" s="8"/>
      <c r="T20" s="8"/>
      <c r="U20" s="8"/>
      <c r="V20" s="8">
        <v>3.1399077404942015E-2</v>
      </c>
      <c r="W20" s="16">
        <f>(V20*$U$17)/(Parameters!B17*POWER(Parameters!$B$8, $C$17))</f>
        <v>0.10948783004641208</v>
      </c>
      <c r="X20" s="6">
        <f t="shared" si="26"/>
        <v>982385790.83823109</v>
      </c>
      <c r="Y20" s="8">
        <f>Parameters!D17</f>
        <v>1.0886748490444263E-2</v>
      </c>
      <c r="Z20" s="8">
        <f>(Y20*$U$17)/(Parameters!B17*POWER(Parameters!$B$8, $C$17))</f>
        <v>3.7961830951510282E-2</v>
      </c>
      <c r="AA20" s="6">
        <f t="shared" si="27"/>
        <v>340614690.2825458</v>
      </c>
      <c r="AB20" s="3"/>
      <c r="AC20" s="3"/>
      <c r="AD20" s="6">
        <f>Parameters!B17*POWER(Parameters!$B$8, $C$17)</f>
        <v>8972556953.789257</v>
      </c>
      <c r="AE20" s="6">
        <f>$AE$3*Parameters!E17</f>
        <v>807221114.38830161</v>
      </c>
      <c r="AF20" s="6">
        <f t="shared" si="28"/>
        <v>8797392277.3393288</v>
      </c>
      <c r="AG20" s="6">
        <f t="shared" si="20"/>
        <v>9439163377.8950138</v>
      </c>
      <c r="AH20" s="8">
        <f t="shared" si="29"/>
        <v>337517.81</v>
      </c>
      <c r="AI20" s="6">
        <f t="shared" si="30"/>
        <v>26064.972030185101</v>
      </c>
      <c r="AJ20" s="6">
        <f t="shared" si="21"/>
        <v>27966.415691945305</v>
      </c>
      <c r="AK20" s="19">
        <f t="shared" si="22"/>
        <v>3.5727203196845347</v>
      </c>
      <c r="AL20" s="19">
        <f t="shared" si="31"/>
        <v>13.697954770410359</v>
      </c>
      <c r="AM20" s="19">
        <f t="shared" si="32"/>
        <v>0.99996163433443008</v>
      </c>
      <c r="AN20" s="19">
        <f t="shared" si="23"/>
        <v>4.4160572632303206</v>
      </c>
      <c r="AO20" s="23">
        <f t="shared" si="24"/>
        <v>3.5776805580825788</v>
      </c>
      <c r="AP20" s="23">
        <f t="shared" si="33"/>
        <v>13.564908212260374</v>
      </c>
      <c r="AQ20" s="23">
        <f t="shared" si="34"/>
        <v>0.99996424282571583</v>
      </c>
      <c r="AR20" s="23">
        <f t="shared" si="25"/>
        <v>4.446636808704068</v>
      </c>
      <c r="AT20">
        <v>1.8901640986127461</v>
      </c>
      <c r="AX20">
        <f t="shared" si="35"/>
        <v>2.1014417106430341</v>
      </c>
      <c r="BB20">
        <v>1.8914757619601099</v>
      </c>
      <c r="BF20">
        <f t="shared" si="36"/>
        <v>2.1087050075114981</v>
      </c>
    </row>
    <row r="21" spans="1:60" x14ac:dyDescent="0.2">
      <c r="A21">
        <v>4</v>
      </c>
      <c r="D21" s="6"/>
      <c r="F21" s="5"/>
      <c r="G21" s="6"/>
      <c r="H21" s="6"/>
      <c r="I21" s="8"/>
      <c r="J21" s="8"/>
      <c r="K21" s="8"/>
      <c r="L21" s="8"/>
      <c r="M21" s="8"/>
      <c r="N21" s="8">
        <f>$N$17*Parameters!E18</f>
        <v>1135450144.5785806</v>
      </c>
      <c r="O21" s="8"/>
      <c r="P21" s="8"/>
      <c r="Q21" s="8"/>
      <c r="R21" s="8"/>
      <c r="S21" s="8"/>
      <c r="T21" s="8"/>
      <c r="U21" s="8"/>
      <c r="V21" s="8">
        <v>5.1692242898110294E-2</v>
      </c>
      <c r="W21" s="16">
        <f>(V21*$U$17)/(Parameters!B18*POWER(Parameters!$B$8, $C$17))</f>
        <v>0.11424817048321262</v>
      </c>
      <c r="X21" s="6">
        <f t="shared" si="26"/>
        <v>1617299905.4956086</v>
      </c>
      <c r="Y21" s="8">
        <f>Parameters!D18</f>
        <v>2.2901398806974758E-2</v>
      </c>
      <c r="Z21" s="8">
        <f>(Y21*$U$17)/(Parameters!B18*POWER(Parameters!$B$8, $C$17))</f>
        <v>5.0615774602013705E-2</v>
      </c>
      <c r="AA21" s="6">
        <f t="shared" si="27"/>
        <v>716518147.59215117</v>
      </c>
      <c r="AB21" s="3"/>
      <c r="AC21" s="3"/>
      <c r="AD21" s="6">
        <f>Parameters!B18*POWER(Parameters!$B$8, $C$17)</f>
        <v>14156024544.246431</v>
      </c>
      <c r="AE21" s="6"/>
      <c r="AF21" s="6">
        <f t="shared" si="28"/>
        <v>12538724638.750822</v>
      </c>
      <c r="AG21" s="6">
        <f t="shared" si="20"/>
        <v>13439506396.65428</v>
      </c>
      <c r="AH21" s="8">
        <f t="shared" si="29"/>
        <v>337517.81</v>
      </c>
      <c r="AI21" s="6">
        <f t="shared" si="30"/>
        <v>37149.816297844613</v>
      </c>
      <c r="AJ21" s="6">
        <f t="shared" si="21"/>
        <v>39818.658448436487</v>
      </c>
      <c r="AK21" s="19">
        <f t="shared" si="22"/>
        <v>3.5967874564407318</v>
      </c>
      <c r="AL21" s="19">
        <f t="shared" si="31"/>
        <v>16.104668446030068</v>
      </c>
      <c r="AM21" s="19">
        <f t="shared" si="32"/>
        <v>0.99997308196648993</v>
      </c>
      <c r="AN21" s="19">
        <f t="shared" si="23"/>
        <v>4.569956670558784</v>
      </c>
      <c r="AO21" s="23">
        <f t="shared" si="24"/>
        <v>3.6012451930814326</v>
      </c>
      <c r="AP21" s="23">
        <f t="shared" si="33"/>
        <v>15.92137171214576</v>
      </c>
      <c r="AQ21" s="23">
        <f t="shared" si="34"/>
        <v>0.99997488614536589</v>
      </c>
      <c r="AR21" s="23">
        <f t="shared" si="25"/>
        <v>4.6000866238918947</v>
      </c>
      <c r="AT21">
        <v>1.8965198275896649</v>
      </c>
      <c r="AX21">
        <f t="shared" si="35"/>
        <v>2.1377456982903236</v>
      </c>
      <c r="BB21">
        <v>1.897694704920007</v>
      </c>
      <c r="BF21">
        <f t="shared" si="36"/>
        <v>2.1447812531565766</v>
      </c>
    </row>
    <row r="22" spans="1:60" x14ac:dyDescent="0.2">
      <c r="A22">
        <v>5</v>
      </c>
      <c r="D22" s="6"/>
      <c r="E22" s="5"/>
      <c r="F22" s="6"/>
      <c r="G22" s="6"/>
      <c r="H22" s="6"/>
      <c r="I22" s="8"/>
      <c r="J22" s="8"/>
      <c r="K22" s="6"/>
      <c r="L22" s="6"/>
      <c r="M22" s="6"/>
      <c r="N22" s="8">
        <f>$N$17*Parameters!E19</f>
        <v>973242981.06735492</v>
      </c>
      <c r="O22" s="6"/>
      <c r="P22" s="6"/>
      <c r="Q22" s="6"/>
      <c r="R22" s="6"/>
      <c r="S22" s="6"/>
      <c r="T22" s="6"/>
      <c r="U22" s="6"/>
      <c r="V22" s="8">
        <v>7.0583126136746943E-2</v>
      </c>
      <c r="W22" s="16">
        <f>(V22*$U$17)/(Parameters!B19*POWER(Parameters!$B$8, $C$17))</f>
        <v>0.11900851092001316</v>
      </c>
      <c r="X22" s="6">
        <f t="shared" si="26"/>
        <v>2208340687.7034264</v>
      </c>
      <c r="Y22" s="8">
        <f>Parameters!D19</f>
        <v>3.7524833052111288E-2</v>
      </c>
      <c r="Z22" s="8">
        <f>(Y22*$U$17)/(Parameters!B19*POWER(Parameters!$B$8, $C$17))</f>
        <v>6.3269718252517135E-2</v>
      </c>
      <c r="AA22" s="6">
        <f t="shared" si="27"/>
        <v>1174042864.971848</v>
      </c>
      <c r="AB22" s="3"/>
      <c r="AC22" s="3"/>
      <c r="AD22" s="6">
        <f>Parameters!B19*POWER(Parameters!$B$8, $C$17)</f>
        <v>18556157627.984058</v>
      </c>
      <c r="AE22" s="6"/>
      <c r="AF22" s="6">
        <f t="shared" si="28"/>
        <v>16347816940.280632</v>
      </c>
      <c r="AG22" s="6">
        <f t="shared" si="20"/>
        <v>17382114763.012211</v>
      </c>
      <c r="AH22" s="8">
        <f t="shared" si="29"/>
        <v>337517.81</v>
      </c>
      <c r="AI22" s="6">
        <f t="shared" si="30"/>
        <v>48435.420164288909</v>
      </c>
      <c r="AJ22" s="6">
        <f t="shared" si="21"/>
        <v>51499.844594903632</v>
      </c>
      <c r="AK22" s="19">
        <f t="shared" si="22"/>
        <v>3.6134067595446946</v>
      </c>
      <c r="AL22" s="19">
        <f t="shared" si="31"/>
        <v>17.766598756426344</v>
      </c>
      <c r="AM22" s="19">
        <f t="shared" si="32"/>
        <v>0.9999793539521985</v>
      </c>
      <c r="AN22" s="19">
        <f t="shared" si="23"/>
        <v>4.6851630714774206</v>
      </c>
      <c r="AO22" s="23">
        <f t="shared" si="24"/>
        <v>3.617089702187251</v>
      </c>
      <c r="AP22" s="23">
        <f t="shared" si="33"/>
        <v>17.505822622727596</v>
      </c>
      <c r="AQ22" s="23">
        <f t="shared" si="34"/>
        <v>0.999980582465678</v>
      </c>
      <c r="AR22" s="23">
        <f t="shared" si="25"/>
        <v>4.7118059185231784</v>
      </c>
      <c r="AT22">
        <v>1.9008963042587816</v>
      </c>
      <c r="AX22">
        <f t="shared" si="35"/>
        <v>2.1645237516547193</v>
      </c>
      <c r="BB22">
        <v>1.9018647959797907</v>
      </c>
      <c r="BF22">
        <f t="shared" si="36"/>
        <v>2.170669463212485</v>
      </c>
    </row>
    <row r="23" spans="1:60" x14ac:dyDescent="0.2">
      <c r="A23">
        <v>6</v>
      </c>
      <c r="N23" s="8">
        <f>$N$17*Parameters!E20</f>
        <v>811035817.5561291</v>
      </c>
      <c r="O23" s="8"/>
      <c r="P23" s="8"/>
      <c r="Q23" s="8"/>
      <c r="R23" s="8"/>
      <c r="S23" s="8"/>
      <c r="T23" s="8"/>
      <c r="U23" s="8"/>
      <c r="V23" s="8">
        <v>9.0905110853151228E-2</v>
      </c>
      <c r="W23" s="16">
        <f>(V23*$U$17)/(Parameters!B20*POWER(Parameters!$B$8, $C$17))</f>
        <v>0.12852919179361422</v>
      </c>
      <c r="X23" s="6">
        <f t="shared" si="26"/>
        <v>2844156472.0195942</v>
      </c>
      <c r="Y23" s="8">
        <f>Parameters!D20</f>
        <v>5.3698687476024153E-2</v>
      </c>
      <c r="Z23" s="8">
        <f>(Y23*$U$17)/(Parameters!B20*POWER(Parameters!$B$8, $C$17))</f>
        <v>7.5923661903020565E-2</v>
      </c>
      <c r="AA23" s="6">
        <f t="shared" si="27"/>
        <v>1680075719.51162</v>
      </c>
      <c r="AB23" s="3"/>
      <c r="AC23" s="3"/>
      <c r="AD23" s="6">
        <f>Parameters!B20*POWER(Parameters!$B$8, $C$17)</f>
        <v>22128486395.422131</v>
      </c>
      <c r="AE23" s="6"/>
      <c r="AF23" s="6">
        <f t="shared" si="28"/>
        <v>19284329923.402534</v>
      </c>
      <c r="AG23" s="6">
        <f t="shared" si="20"/>
        <v>20448410675.910511</v>
      </c>
      <c r="AH23" s="8">
        <f t="shared" si="29"/>
        <v>337517.81</v>
      </c>
      <c r="AI23" s="6">
        <f t="shared" si="30"/>
        <v>57135.740254425495</v>
      </c>
      <c r="AJ23" s="6">
        <f t="shared" si="21"/>
        <v>60584.686407838781</v>
      </c>
      <c r="AK23" s="19">
        <f t="shared" si="22"/>
        <v>3.6231919706944979</v>
      </c>
      <c r="AL23" s="19">
        <f t="shared" si="31"/>
        <v>18.745119871406679</v>
      </c>
      <c r="AM23" s="19">
        <f t="shared" si="32"/>
        <v>0.99998249782018145</v>
      </c>
      <c r="AN23" s="19">
        <f t="shared" si="23"/>
        <v>4.7569078585010782</v>
      </c>
      <c r="AO23" s="23">
        <f t="shared" si="24"/>
        <v>3.626563973265831</v>
      </c>
      <c r="AP23" s="23">
        <f t="shared" si="33"/>
        <v>18.453249730585597</v>
      </c>
      <c r="AQ23" s="23">
        <f t="shared" si="34"/>
        <v>0.9999834941788216</v>
      </c>
      <c r="AR23" s="23">
        <f t="shared" si="25"/>
        <v>4.7823628642814979</v>
      </c>
      <c r="AT23">
        <v>1.9034684054889113</v>
      </c>
      <c r="AX23">
        <f t="shared" si="35"/>
        <v>2.1810336674386939</v>
      </c>
      <c r="BB23">
        <v>1.9043539516764816</v>
      </c>
      <c r="BF23">
        <f t="shared" si="36"/>
        <v>2.1868614186275037</v>
      </c>
    </row>
    <row r="24" spans="1:60" x14ac:dyDescent="0.2">
      <c r="A24">
        <v>7</v>
      </c>
      <c r="N24" s="8">
        <f>$N$17*Parameters!E21</f>
        <v>648828654.04490328</v>
      </c>
      <c r="V24" s="8">
        <v>0.11035602414482847</v>
      </c>
      <c r="W24" s="16">
        <f>(V24*$U$17)/(Parameters!B21*POWER(Parameters!$B$8, $C$17))</f>
        <v>0.13328953223041476</v>
      </c>
      <c r="X24" s="6">
        <f t="shared" si="26"/>
        <v>3452718965.4374003</v>
      </c>
      <c r="Y24" s="8">
        <f>Parameters!D21</f>
        <v>8.3813868210341438E-2</v>
      </c>
      <c r="Z24" s="8">
        <f>(Y24*$U$17)/(Parameters!B21*POWER(Parameters!$B$8, $C$17))</f>
        <v>0.10123154920402742</v>
      </c>
      <c r="AA24" s="6">
        <f t="shared" si="27"/>
        <v>2622292118.4323764</v>
      </c>
      <c r="AD24" s="6">
        <f>Parameters!B21*POWER(Parameters!$B$8, $C$17)</f>
        <v>25903901886.824532</v>
      </c>
      <c r="AE24" s="6"/>
      <c r="AF24" s="6">
        <f t="shared" si="28"/>
        <v>22451182921.387131</v>
      </c>
      <c r="AG24" s="6">
        <f t="shared" si="20"/>
        <v>23281609768.392155</v>
      </c>
      <c r="AH24" s="8">
        <f t="shared" si="29"/>
        <v>337517.81</v>
      </c>
      <c r="AI24" s="6">
        <f t="shared" si="30"/>
        <v>66518.513264195251</v>
      </c>
      <c r="AJ24" s="6">
        <f t="shared" si="21"/>
        <v>68978.907419410418</v>
      </c>
      <c r="AK24" s="19">
        <f t="shared" si="22"/>
        <v>3.6318343926323924</v>
      </c>
      <c r="AL24" s="19">
        <f t="shared" si="31"/>
        <v>19.609362065196123</v>
      </c>
      <c r="AM24" s="19">
        <f t="shared" si="32"/>
        <v>0.99998496659124014</v>
      </c>
      <c r="AN24" s="19">
        <f t="shared" si="23"/>
        <v>4.8229425338672094</v>
      </c>
      <c r="AO24" s="23">
        <f t="shared" si="24"/>
        <v>3.6338487538758995</v>
      </c>
      <c r="AP24" s="23">
        <f t="shared" si="33"/>
        <v>19.18172779159244</v>
      </c>
      <c r="AQ24" s="23">
        <f t="shared" si="34"/>
        <v>0.99998550281473841</v>
      </c>
      <c r="AR24" s="23">
        <f t="shared" si="25"/>
        <v>4.8387163111464924</v>
      </c>
      <c r="AT24">
        <v>1.9057372307410045</v>
      </c>
      <c r="AX24">
        <f t="shared" si="35"/>
        <v>2.196119881488078</v>
      </c>
      <c r="BB24">
        <v>1.9062656566900373</v>
      </c>
      <c r="BF24">
        <f t="shared" si="36"/>
        <v>2.1997082331860498</v>
      </c>
    </row>
    <row r="25" spans="1:60" x14ac:dyDescent="0.2">
      <c r="A25">
        <v>8</v>
      </c>
      <c r="N25" s="8">
        <f>$N$17*Parameters!E22</f>
        <v>486621490.53367746</v>
      </c>
      <c r="V25" s="8">
        <v>0.13623161609900061</v>
      </c>
      <c r="W25" s="16">
        <f>(V25*$U$17)/(Parameters!B22*POWER(Parameters!$B$8, $C$17))</f>
        <v>0.13804987266721525</v>
      </c>
      <c r="X25" s="6">
        <f t="shared" si="26"/>
        <v>4262290964.5594463</v>
      </c>
      <c r="Y25" s="8">
        <f>Parameters!D22</f>
        <v>0.13736006243615159</v>
      </c>
      <c r="Z25" s="8">
        <f>(Y25*$U$17)/(Parameters!B22*POWER(Parameters!$B$8, $C$17))</f>
        <v>0.1391933801555377</v>
      </c>
      <c r="AA25" s="6">
        <f t="shared" si="27"/>
        <v>4297596767.7537174</v>
      </c>
      <c r="AD25" s="6">
        <f>Parameters!B22*POWER(Parameters!$B$8, $C$17)</f>
        <v>30875008301.052029</v>
      </c>
      <c r="AE25" s="6"/>
      <c r="AF25" s="6">
        <f t="shared" si="28"/>
        <v>26612717336.492584</v>
      </c>
      <c r="AG25" s="6">
        <f t="shared" si="20"/>
        <v>26577411533.298309</v>
      </c>
      <c r="AH25" s="8">
        <f t="shared" si="29"/>
        <v>337517.81</v>
      </c>
      <c r="AI25" s="6">
        <f t="shared" si="30"/>
        <v>78848.334955991158</v>
      </c>
      <c r="AJ25" s="6">
        <f t="shared" si="21"/>
        <v>78743.730688754789</v>
      </c>
      <c r="AK25" s="19">
        <f t="shared" si="22"/>
        <v>3.6411034583089368</v>
      </c>
      <c r="AL25" s="19">
        <f t="shared" si="31"/>
        <v>20.536268632850565</v>
      </c>
      <c r="AM25" s="19">
        <f t="shared" si="32"/>
        <v>0.99998731742400704</v>
      </c>
      <c r="AN25" s="19">
        <f t="shared" si="23"/>
        <v>4.896792526744691</v>
      </c>
      <c r="AO25" s="23">
        <f t="shared" si="24"/>
        <v>3.6410326712272343</v>
      </c>
      <c r="AP25" s="23">
        <f t="shared" si="33"/>
        <v>19.900119526725923</v>
      </c>
      <c r="AQ25" s="23">
        <f t="shared" si="34"/>
        <v>0.99998730057629659</v>
      </c>
      <c r="AR25" s="23">
        <f t="shared" si="25"/>
        <v>4.8962159867706738</v>
      </c>
      <c r="AT25">
        <v>1.9081675655740868</v>
      </c>
      <c r="AX25">
        <f t="shared" si="35"/>
        <v>2.2128697491593785</v>
      </c>
      <c r="BB25">
        <v>1.9081490170390871</v>
      </c>
      <c r="BF25">
        <f t="shared" si="36"/>
        <v>2.2127394755756211</v>
      </c>
    </row>
    <row r="26" spans="1:60" x14ac:dyDescent="0.2">
      <c r="A26">
        <v>9</v>
      </c>
      <c r="N26" s="8">
        <f>$N$17*Parameters!E23</f>
        <v>324414327.02245164</v>
      </c>
      <c r="V26" s="8">
        <v>0.17539672338276532</v>
      </c>
      <c r="W26" s="16">
        <f>(V26*$U$17)/(Parameters!B23*POWER(Parameters!$B$8, $C$17))</f>
        <v>0.14281021310401579</v>
      </c>
      <c r="X26" s="6">
        <f t="shared" si="26"/>
        <v>5487653238.6168871</v>
      </c>
      <c r="Y26" s="8">
        <f>Parameters!D23</f>
        <v>0.21757858127224192</v>
      </c>
      <c r="Z26" s="8">
        <f>(Y26*$U$17)/(Parameters!B23*POWER(Parameters!$B$8, $C$17))</f>
        <v>0.17715521110704796</v>
      </c>
      <c r="AA26" s="6">
        <f t="shared" si="27"/>
        <v>6807400863.2798061</v>
      </c>
      <c r="AD26" s="6">
        <f>Parameters!B23*POWER(Parameters!$B$8, $C$17)</f>
        <v>38426195993.559341</v>
      </c>
      <c r="AE26" s="6"/>
      <c r="AF26" s="6">
        <f t="shared" si="28"/>
        <v>32938542754.942455</v>
      </c>
      <c r="AG26" s="6">
        <f t="shared" si="20"/>
        <v>31618795130.279533</v>
      </c>
      <c r="AH26" s="8">
        <f t="shared" si="29"/>
        <v>337517.81</v>
      </c>
      <c r="AI26" s="6">
        <f t="shared" si="30"/>
        <v>97590.532348329871</v>
      </c>
      <c r="AJ26" s="6">
        <f t="shared" si="21"/>
        <v>93680.375356427961</v>
      </c>
      <c r="AK26" s="19">
        <f t="shared" si="22"/>
        <v>3.6521632608447812</v>
      </c>
      <c r="AL26" s="19">
        <f t="shared" si="31"/>
        <v>21.642248886434999</v>
      </c>
      <c r="AM26" s="19">
        <f t="shared" si="32"/>
        <v>0.99998975310436433</v>
      </c>
      <c r="AN26" s="19">
        <f t="shared" si="23"/>
        <v>4.9894076870486677</v>
      </c>
      <c r="AO26" s="23">
        <f t="shared" si="24"/>
        <v>3.6500897777097294</v>
      </c>
      <c r="AP26" s="23">
        <f t="shared" si="33"/>
        <v>20.805830174975437</v>
      </c>
      <c r="AQ26" s="23">
        <f t="shared" si="34"/>
        <v>0.99998932540570851</v>
      </c>
      <c r="AR26" s="23">
        <f t="shared" si="25"/>
        <v>4.9716486221891873</v>
      </c>
      <c r="AT26">
        <v>1.9110633848318013</v>
      </c>
      <c r="AX26">
        <f t="shared" si="35"/>
        <v>2.2336982085878718</v>
      </c>
      <c r="BB26">
        <v>1.9105208132102958</v>
      </c>
      <c r="BF26">
        <f t="shared" si="36"/>
        <v>2.2297194043621693</v>
      </c>
    </row>
    <row r="27" spans="1:60" x14ac:dyDescent="0.2">
      <c r="A27">
        <v>10</v>
      </c>
      <c r="N27" s="8">
        <f>$N$17*Parameters!E24</f>
        <v>162207163.51122582</v>
      </c>
      <c r="V27" s="8">
        <v>0.31542540330404345</v>
      </c>
      <c r="W27" s="16">
        <f>(V27*$U$17)/(Parameters!B24*POWER(Parameters!$B$8, $C$17))</f>
        <v>0.14757055354081633</v>
      </c>
      <c r="X27" s="6">
        <f t="shared" si="26"/>
        <v>9868743284.3660316</v>
      </c>
      <c r="Y27" s="8">
        <f>Parameters!D24</f>
        <v>0.43275574250579357</v>
      </c>
      <c r="Z27" s="8">
        <f>(Y27*$U$17)/(Parameters!B24*POWER(Parameters!$B$8, $C$17))</f>
        <v>0.20246309840805482</v>
      </c>
      <c r="AA27" s="6">
        <f t="shared" si="27"/>
        <v>13539668279.375198</v>
      </c>
      <c r="AD27" s="6">
        <f>Parameters!B24*POWER(Parameters!$B$8, $C$17)</f>
        <v>66874745994.880684</v>
      </c>
      <c r="AE27" s="6"/>
      <c r="AF27" s="6">
        <f t="shared" si="28"/>
        <v>57006002710.514648</v>
      </c>
      <c r="AG27" s="6">
        <f t="shared" si="20"/>
        <v>53335077715.505486</v>
      </c>
      <c r="AH27" s="8">
        <f t="shared" si="29"/>
        <v>337517.81</v>
      </c>
      <c r="AI27" s="6">
        <f t="shared" si="30"/>
        <v>168897.76190037097</v>
      </c>
      <c r="AJ27" s="6">
        <f t="shared" si="21"/>
        <v>158021.52104360209</v>
      </c>
      <c r="AK27" s="19">
        <f t="shared" si="22"/>
        <v>3.6779467012067659</v>
      </c>
      <c r="AL27" s="19">
        <f t="shared" si="31"/>
        <v>24.220592922633479</v>
      </c>
      <c r="AM27" s="19">
        <f t="shared" si="32"/>
        <v>0.99999407925842976</v>
      </c>
      <c r="AN27" s="19">
        <f t="shared" si="23"/>
        <v>5.2276238946819689</v>
      </c>
      <c r="AO27" s="23">
        <f t="shared" si="24"/>
        <v>3.6750103379408348</v>
      </c>
      <c r="AP27" s="23">
        <f t="shared" si="33"/>
        <v>23.297886198085969</v>
      </c>
      <c r="AQ27" s="23">
        <f t="shared" si="34"/>
        <v>0.99999367174804166</v>
      </c>
      <c r="AR27" s="23">
        <f t="shared" si="25"/>
        <v>5.1987162378025342</v>
      </c>
      <c r="AT27">
        <v>1.9177973566586137</v>
      </c>
      <c r="AX27">
        <f t="shared" si="35"/>
        <v>2.2863997670315594</v>
      </c>
      <c r="BB27">
        <v>1.9170316476106581</v>
      </c>
      <c r="BF27">
        <f t="shared" si="36"/>
        <v>2.2800693493406148</v>
      </c>
    </row>
    <row r="29" spans="1:60" x14ac:dyDescent="0.2">
      <c r="A29" s="2" t="s">
        <v>90</v>
      </c>
      <c r="B29" s="51" t="s">
        <v>39</v>
      </c>
      <c r="C29" s="51"/>
      <c r="D29" s="51" t="s">
        <v>47</v>
      </c>
      <c r="E29" s="51"/>
      <c r="F29" s="51"/>
      <c r="G29" s="51"/>
      <c r="H29" s="52"/>
      <c r="I29" s="51"/>
      <c r="J29" s="51"/>
      <c r="K29" s="51"/>
      <c r="L29" s="51"/>
      <c r="M29" s="51"/>
      <c r="N29" s="51"/>
      <c r="O29" s="15"/>
      <c r="P29" s="15"/>
      <c r="Q29" s="15"/>
      <c r="R29" s="15"/>
      <c r="S29" s="15"/>
      <c r="T29" s="15"/>
      <c r="U29" s="15"/>
      <c r="V29" s="51" t="s">
        <v>157</v>
      </c>
      <c r="W29" s="51"/>
      <c r="X29" s="51"/>
      <c r="Y29" s="51" t="s">
        <v>159</v>
      </c>
      <c r="Z29" s="51"/>
      <c r="AA29" s="51"/>
      <c r="AB29" s="51" t="s">
        <v>91</v>
      </c>
      <c r="AC29" s="51"/>
      <c r="AD29" s="51" t="s">
        <v>48</v>
      </c>
      <c r="AE29" s="51"/>
      <c r="AF29" s="2" t="s">
        <v>183</v>
      </c>
      <c r="AG29" s="15" t="s">
        <v>87</v>
      </c>
      <c r="AH29" s="2" t="s">
        <v>92</v>
      </c>
      <c r="AI29" s="2" t="s">
        <v>184</v>
      </c>
      <c r="AJ29" s="15" t="s">
        <v>93</v>
      </c>
      <c r="AK29" s="51" t="s">
        <v>205</v>
      </c>
      <c r="AL29" s="51"/>
      <c r="AM29" s="51"/>
      <c r="AN29" s="51"/>
      <c r="AO29" s="51" t="s">
        <v>210</v>
      </c>
      <c r="AP29" s="51"/>
      <c r="AQ29" s="51"/>
      <c r="AR29" s="51"/>
      <c r="AS29" s="51" t="s">
        <v>215</v>
      </c>
      <c r="AT29" s="51"/>
      <c r="AU29" s="51"/>
      <c r="AV29" s="51"/>
      <c r="AW29" s="53" t="s">
        <v>216</v>
      </c>
      <c r="AX29" s="53"/>
      <c r="AY29" s="53"/>
      <c r="AZ29" s="53"/>
      <c r="BA29" s="51" t="s">
        <v>217</v>
      </c>
      <c r="BB29" s="51"/>
      <c r="BC29" s="51"/>
      <c r="BD29" s="51"/>
      <c r="BE29" s="51" t="s">
        <v>218</v>
      </c>
      <c r="BF29" s="51"/>
      <c r="BG29" s="51"/>
      <c r="BH29" s="51"/>
    </row>
    <row r="30" spans="1:60" x14ac:dyDescent="0.2">
      <c r="A30" s="9"/>
      <c r="B30" s="9" t="s">
        <v>39</v>
      </c>
      <c r="C30" s="9" t="s">
        <v>52</v>
      </c>
      <c r="D30" s="9" t="s">
        <v>53</v>
      </c>
      <c r="E30" s="9" t="s">
        <v>54</v>
      </c>
      <c r="F30" s="9" t="s">
        <v>55</v>
      </c>
      <c r="G30" s="9" t="s">
        <v>56</v>
      </c>
      <c r="H30" s="9" t="s">
        <v>57</v>
      </c>
      <c r="I30" s="9" t="s">
        <v>94</v>
      </c>
      <c r="J30" s="9" t="s">
        <v>59</v>
      </c>
      <c r="K30" s="9" t="s">
        <v>60</v>
      </c>
      <c r="L30" s="9" t="s">
        <v>61</v>
      </c>
      <c r="M30" s="9" t="s">
        <v>62</v>
      </c>
      <c r="N30" s="9" t="s">
        <v>95</v>
      </c>
      <c r="O30" s="9" t="s">
        <v>58</v>
      </c>
      <c r="P30" s="9" t="s">
        <v>59</v>
      </c>
      <c r="Q30" s="9" t="s">
        <v>60</v>
      </c>
      <c r="R30" s="9" t="s">
        <v>61</v>
      </c>
      <c r="S30" s="9" t="s">
        <v>62</v>
      </c>
      <c r="T30" s="11" t="s">
        <v>63</v>
      </c>
      <c r="U30" s="9" t="s">
        <v>96</v>
      </c>
      <c r="V30" s="9" t="s">
        <v>64</v>
      </c>
      <c r="W30" s="9" t="s">
        <v>97</v>
      </c>
      <c r="X30" s="9" t="s">
        <v>66</v>
      </c>
      <c r="Y30" s="9" t="s">
        <v>64</v>
      </c>
      <c r="Z30" s="9" t="s">
        <v>97</v>
      </c>
      <c r="AA30" s="9" t="s">
        <v>66</v>
      </c>
      <c r="AB30" s="9" t="s">
        <v>98</v>
      </c>
      <c r="AC30" s="9" t="s">
        <v>99</v>
      </c>
      <c r="AD30" s="9" t="s">
        <v>100</v>
      </c>
      <c r="AE30" s="9" t="s">
        <v>68</v>
      </c>
      <c r="AF30" s="9" t="s">
        <v>101</v>
      </c>
      <c r="AG30" s="9" t="s">
        <v>101</v>
      </c>
      <c r="AH30" s="9"/>
      <c r="AI30" s="9"/>
      <c r="AJ30" s="9"/>
      <c r="AK30" s="9" t="s">
        <v>163</v>
      </c>
      <c r="AL30" s="9" t="s">
        <v>185</v>
      </c>
      <c r="AM30" s="9" t="s">
        <v>179</v>
      </c>
      <c r="AN30" s="9" t="s">
        <v>250</v>
      </c>
      <c r="AO30" s="9" t="s">
        <v>163</v>
      </c>
      <c r="AP30" s="9" t="s">
        <v>185</v>
      </c>
      <c r="AQ30" s="9" t="s">
        <v>179</v>
      </c>
      <c r="AR30" s="9" t="s">
        <v>250</v>
      </c>
      <c r="AS30" s="17" t="s">
        <v>49</v>
      </c>
      <c r="AT30" s="9" t="s">
        <v>72</v>
      </c>
      <c r="AU30" s="9" t="s">
        <v>50</v>
      </c>
      <c r="AV30" s="9" t="s">
        <v>51</v>
      </c>
      <c r="AW30" s="17" t="s">
        <v>49</v>
      </c>
      <c r="AX30" s="9" t="s">
        <v>72</v>
      </c>
      <c r="AY30" s="9" t="s">
        <v>50</v>
      </c>
      <c r="AZ30" s="9" t="s">
        <v>51</v>
      </c>
      <c r="BA30" s="9" t="s">
        <v>49</v>
      </c>
      <c r="BB30" s="9" t="s">
        <v>72</v>
      </c>
      <c r="BC30" s="9" t="s">
        <v>50</v>
      </c>
      <c r="BD30" s="9" t="s">
        <v>51</v>
      </c>
      <c r="BE30" s="9" t="s">
        <v>49</v>
      </c>
      <c r="BF30" s="9" t="s">
        <v>72</v>
      </c>
      <c r="BG30" s="9" t="s">
        <v>50</v>
      </c>
      <c r="BH30" s="9" t="s">
        <v>51</v>
      </c>
    </row>
    <row r="31" spans="1:60" x14ac:dyDescent="0.2">
      <c r="A31" t="s">
        <v>77</v>
      </c>
      <c r="B31">
        <v>2078</v>
      </c>
      <c r="C31">
        <v>54</v>
      </c>
      <c r="D31" s="6">
        <f>Parameters!$B$4</f>
        <v>27012.440000000002</v>
      </c>
      <c r="E31">
        <f>Parameters!$B$5</f>
        <v>20778.68</v>
      </c>
      <c r="F31" s="5">
        <f>Parameters!$B$8</f>
        <v>1.01088</v>
      </c>
      <c r="G31" s="6">
        <f>D31*POWER(F31,C31)</f>
        <v>48455.429049392646</v>
      </c>
      <c r="H31" s="6">
        <f>E31*POWER(F31,C31)</f>
        <v>37273.19170278708</v>
      </c>
      <c r="I31" s="8">
        <f>Parameters!$B$3*Parameters!B42</f>
        <v>557660.4</v>
      </c>
      <c r="J31" s="8">
        <f>I31*Parameters!$B$10</f>
        <v>234217.36799999999</v>
      </c>
      <c r="K31" s="8">
        <f>I31*Parameters!$B$9</f>
        <v>323443.03200000001</v>
      </c>
      <c r="L31" s="8">
        <f>J31*G31</f>
        <v>11349103057.259487</v>
      </c>
      <c r="M31" s="8">
        <f>K31*H31</f>
        <v>12055754136.666697</v>
      </c>
      <c r="N31" s="8">
        <f>M31+L31</f>
        <v>23404857193.926186</v>
      </c>
      <c r="O31" s="8">
        <f>Parameters!B42</f>
        <v>2239600</v>
      </c>
      <c r="P31" s="8">
        <f>O31*Parameters!$B$10</f>
        <v>940632</v>
      </c>
      <c r="Q31" s="8">
        <f>O31*Parameters!$B$9</f>
        <v>1298968</v>
      </c>
      <c r="R31" s="8">
        <f>P31*G31</f>
        <v>45578727137.588303</v>
      </c>
      <c r="S31" s="8">
        <f>Q31*H31</f>
        <v>48416683279.785927</v>
      </c>
      <c r="T31" s="14">
        <f>S31+R31</f>
        <v>93995410417.374237</v>
      </c>
      <c r="U31" s="8">
        <f>T31-SUM(N35:N41)</f>
        <v>82080210391.375458</v>
      </c>
      <c r="AA31" s="6">
        <f>SUM(AA32:AA41)</f>
        <v>82080210391.375458</v>
      </c>
      <c r="AB31" s="3">
        <f>Parameters!C42*Parameters!B2</f>
        <v>3564796.4</v>
      </c>
      <c r="AC31" s="3">
        <f>AB31+I31</f>
        <v>4122456.8</v>
      </c>
      <c r="AD31" s="6">
        <f>SUM(AD32:AD41)</f>
        <v>348713038915.21021</v>
      </c>
      <c r="AE31" s="6">
        <f>N31</f>
        <v>23404857193.926186</v>
      </c>
      <c r="AF31" s="6">
        <f>AD31+AE31-X31</f>
        <v>372117896109.13641</v>
      </c>
      <c r="AG31" s="6">
        <f>AD31+AE31-AA31</f>
        <v>290037685717.76099</v>
      </c>
      <c r="AH31" s="6"/>
      <c r="AI31" s="6"/>
      <c r="AJ31" s="6"/>
      <c r="AM31" t="s">
        <v>147</v>
      </c>
      <c r="AN31" t="s">
        <v>147</v>
      </c>
      <c r="AQ31" t="s">
        <v>147</v>
      </c>
      <c r="AR31" t="s">
        <v>147</v>
      </c>
      <c r="AS31" s="18">
        <f>SUM(AL32:AL41)</f>
        <v>178.71893338429678</v>
      </c>
      <c r="AU31">
        <f>SUM(AT32:AT41)</f>
        <v>19.011358835489101</v>
      </c>
      <c r="AV31" s="8">
        <f>MIN(AK33:AK41)</f>
        <v>3.5609596133653318</v>
      </c>
      <c r="AW31" s="16">
        <f>SUM(AN32:AN41)</f>
        <v>47.232300983564237</v>
      </c>
      <c r="AX31" s="16"/>
      <c r="AY31" s="16">
        <f>SUM(AX32:AX41)</f>
        <v>21.7206265852633</v>
      </c>
      <c r="AZ31" s="16">
        <f>MIN(AN33:AN41)</f>
        <v>4.3457150503248014</v>
      </c>
      <c r="BA31" s="23">
        <f>SUM(AP32:AP41)</f>
        <v>175.72713712171776</v>
      </c>
      <c r="BC31" s="23">
        <f>SUM(BB32:BB41)</f>
        <v>19.020080266501267</v>
      </c>
      <c r="BD31" s="23">
        <f>MIN(AO33:AO41)</f>
        <v>3.5678143747097346</v>
      </c>
      <c r="BE31" s="23">
        <f>SUM(AR32:AR41)</f>
        <v>47.432580028624379</v>
      </c>
      <c r="BG31">
        <f>SUM(BF31:BF41)</f>
        <v>21.768404708648056</v>
      </c>
      <c r="BH31" s="23">
        <f>MIN(AR33:AR41)</f>
        <v>4.3863532839785231</v>
      </c>
    </row>
    <row r="32" spans="1:60" x14ac:dyDescent="0.2">
      <c r="A32">
        <v>1</v>
      </c>
      <c r="D32" s="6"/>
      <c r="F32" s="5"/>
      <c r="G32" s="6"/>
      <c r="H32" s="6"/>
      <c r="I32" s="8"/>
      <c r="J32" s="8"/>
      <c r="K32" s="8"/>
      <c r="L32" s="8"/>
      <c r="M32" s="8"/>
      <c r="N32" s="8">
        <f>$N$31*Parameters!E15</f>
        <v>4255428580.7138519</v>
      </c>
      <c r="O32" s="8"/>
      <c r="P32" s="8"/>
      <c r="Q32" s="8"/>
      <c r="R32" s="8"/>
      <c r="S32" s="8"/>
      <c r="T32" s="8"/>
      <c r="U32" s="8"/>
      <c r="V32" s="16">
        <f>Parameters!C15</f>
        <v>3.6096393698449797E-3</v>
      </c>
      <c r="W32" s="16">
        <f>(V32*$U$31)/(Parameters!B15*POWER(Parameters!$B$8,$C$31))</f>
        <v>0.20695043175437647</v>
      </c>
      <c r="X32" s="6">
        <f>$U$31*V32</f>
        <v>296279958.91386789</v>
      </c>
      <c r="Y32" s="8">
        <f>Parameters!D15</f>
        <v>0</v>
      </c>
      <c r="Z32" s="8">
        <f>(Y32*$U$31)/(Parameters!B15*POWER(Parameters!$B$8,$C$31))</f>
        <v>0</v>
      </c>
      <c r="AA32" s="6">
        <f>$U$31*Y32</f>
        <v>0</v>
      </c>
      <c r="AB32" s="3"/>
      <c r="AC32" s="3"/>
      <c r="AD32" s="6">
        <f>Parameters!B15*POWER(Parameters!$B$8,$C$31)</f>
        <v>1431646971.7034178</v>
      </c>
      <c r="AE32" s="6">
        <f>$AE$31*Parameters!E15</f>
        <v>4255428580.7138519</v>
      </c>
      <c r="AF32" s="6">
        <f>AD32+AE32-X32</f>
        <v>5390795593.5034018</v>
      </c>
      <c r="AG32" s="6">
        <f t="shared" ref="AG32:AG41" si="37">AD32+AE32-AA32</f>
        <v>5687075552.4172697</v>
      </c>
      <c r="AH32" s="8">
        <f>($AB$31+$I$31)/10</f>
        <v>412245.68</v>
      </c>
      <c r="AI32" s="6">
        <f>AF32/AH32</f>
        <v>13076.657573472698</v>
      </c>
      <c r="AJ32" s="6">
        <f t="shared" ref="AJ32:AJ41" si="38">AG32/AH32</f>
        <v>13795.355120318713</v>
      </c>
      <c r="AK32" s="19">
        <f t="shared" ref="AK32:AK41" si="39">(POWER(AI32, -0.26) - 1)/-0.26</f>
        <v>3.5190109480807541</v>
      </c>
      <c r="AL32" s="19">
        <f>(AK32-$AK$18)*100</f>
        <v>8.3270176100322946</v>
      </c>
      <c r="AM32" s="19">
        <f>(POWER(AI32, -1) - 1)/-1</f>
        <v>0.99992352785913519</v>
      </c>
      <c r="AN32" s="19">
        <f t="shared" ref="AN32:AN41" si="40">LOG(AI32)</f>
        <v>4.1164967514120141</v>
      </c>
      <c r="AO32" s="23">
        <f t="shared" ref="AO32:AO41" si="41">(POWER(AJ32, -0.26) - 1)/-0.26</f>
        <v>3.5235302691305184</v>
      </c>
      <c r="AP32" s="23">
        <f>(AO32-$AO$18)*100</f>
        <v>8.1498793170543316</v>
      </c>
      <c r="AQ32" s="23">
        <f>(POWER(AJ32, -1) - 1)/-1</f>
        <v>0.99992751183341944</v>
      </c>
      <c r="AR32" s="23">
        <f t="shared" ref="AR32:AR41" si="42">LOG(AJ32)</f>
        <v>4.1397328845766941</v>
      </c>
      <c r="AT32" cm="1">
        <f t="array" ref="AT32:AT41">SQRT(AK32:AK41)</f>
        <v>1.8759027021892032</v>
      </c>
      <c r="AX32">
        <f>SQRT(AN32)</f>
        <v>2.0289151661447096</v>
      </c>
      <c r="BB32" cm="1">
        <f t="array" ref="BB32:BB41">SQRT(AO32:AO41)</f>
        <v>1.8771068880408803</v>
      </c>
      <c r="BF32">
        <f>SQRT(AR32)</f>
        <v>2.0346333538445434</v>
      </c>
    </row>
    <row r="33" spans="1:58" x14ac:dyDescent="0.2">
      <c r="A33">
        <v>2</v>
      </c>
      <c r="D33" s="6"/>
      <c r="F33" s="5"/>
      <c r="G33" s="6"/>
      <c r="H33" s="6"/>
      <c r="I33" s="8"/>
      <c r="J33" s="8"/>
      <c r="K33" s="8"/>
      <c r="L33" s="8"/>
      <c r="M33" s="8"/>
      <c r="N33" s="8">
        <f>$N$31*Parameters!E16</f>
        <v>3829885722.6424665</v>
      </c>
      <c r="O33" s="8"/>
      <c r="P33" s="8"/>
      <c r="Q33" s="8"/>
      <c r="R33" s="8"/>
      <c r="S33" s="8"/>
      <c r="T33" s="8"/>
      <c r="U33" s="8"/>
      <c r="V33" s="16">
        <f>Parameters!C16</f>
        <v>1.4401036406566694E-2</v>
      </c>
      <c r="W33" s="16">
        <f>(V33*$U$31)/(Parameters!B16*POWER(Parameters!$B$8,$C$31))</f>
        <v>0.1821163799438513</v>
      </c>
      <c r="X33" s="6">
        <f t="shared" ref="X33:X41" si="43">$U$31*V33</f>
        <v>1182040098.104852</v>
      </c>
      <c r="Y33" s="8">
        <f>Parameters!D16</f>
        <v>3.4800777499171295E-3</v>
      </c>
      <c r="Z33" s="8">
        <f>(Y33*$U$31)/(Parameters!B16*POWER(Parameters!$B$8,$C$31))</f>
        <v>4.4009274322024179E-2</v>
      </c>
      <c r="AA33" s="6">
        <f t="shared" ref="AA33:AA41" si="44">$U$31*Y33</f>
        <v>285645513.89154249</v>
      </c>
      <c r="AB33" s="3"/>
      <c r="AC33" s="3"/>
      <c r="AD33" s="6">
        <f>Parameters!B16*POWER(Parameters!$B$8,$C$31)</f>
        <v>6490575413.7507534</v>
      </c>
      <c r="AE33" s="6">
        <f>$AE$31*Parameters!E16</f>
        <v>3829885722.6424665</v>
      </c>
      <c r="AF33" s="6">
        <f t="shared" ref="AF33:AF41" si="45">AD33+AE33-X33</f>
        <v>9138421038.2883663</v>
      </c>
      <c r="AG33" s="6">
        <f t="shared" si="37"/>
        <v>10034815622.501677</v>
      </c>
      <c r="AH33" s="8">
        <f t="shared" ref="AH33:AH41" si="46">($AB$31+$I$31)/10</f>
        <v>412245.68</v>
      </c>
      <c r="AI33" s="6">
        <f t="shared" ref="AI33:AI41" si="47">AF33/AH33</f>
        <v>22167.414921821295</v>
      </c>
      <c r="AJ33" s="6">
        <f t="shared" si="38"/>
        <v>24341.833303145049</v>
      </c>
      <c r="AK33" s="19">
        <f t="shared" si="39"/>
        <v>3.5609596133653318</v>
      </c>
      <c r="AL33" s="19">
        <f t="shared" ref="AL33:AL41" si="48">(AK33-$AK$18)*100</f>
        <v>12.521884138490069</v>
      </c>
      <c r="AM33" s="19">
        <f t="shared" ref="AM33:AM41" si="49">(POWER(AI33, -1) - 1)/-1</f>
        <v>0.99995488874081495</v>
      </c>
      <c r="AN33" s="19">
        <f t="shared" si="40"/>
        <v>4.3457150503248014</v>
      </c>
      <c r="AO33" s="23">
        <f t="shared" si="41"/>
        <v>3.5678143747097346</v>
      </c>
      <c r="AP33" s="23">
        <f t="shared" ref="AP33:AP41" si="50">(AO33-$AO$18)*100</f>
        <v>12.578289874975956</v>
      </c>
      <c r="AQ33" s="23">
        <f t="shared" ref="AQ33:AQ41" si="51">(POWER(AJ33, -1) - 1)/-1</f>
        <v>0.99995891845993901</v>
      </c>
      <c r="AR33" s="23">
        <f t="shared" si="42"/>
        <v>4.3863532839785231</v>
      </c>
      <c r="AT33">
        <v>1.8870505063101337</v>
      </c>
      <c r="AX33">
        <f t="shared" ref="AX33:AX41" si="52">SQRT(AN33)</f>
        <v>2.0846378703086064</v>
      </c>
      <c r="BB33">
        <v>1.8888658964335543</v>
      </c>
      <c r="BF33">
        <f t="shared" ref="BF33:BF41" si="53">SQRT(AR33)</f>
        <v>2.0943622618779503</v>
      </c>
    </row>
    <row r="34" spans="1:58" x14ac:dyDescent="0.2">
      <c r="A34">
        <v>3</v>
      </c>
      <c r="D34" s="6"/>
      <c r="F34" s="5"/>
      <c r="G34" s="6"/>
      <c r="H34" s="6"/>
      <c r="I34" s="8"/>
      <c r="J34" s="8"/>
      <c r="K34" s="8"/>
      <c r="L34" s="8"/>
      <c r="M34" s="8"/>
      <c r="N34" s="8">
        <f>$N$31*Parameters!E17</f>
        <v>3404342864.5710812</v>
      </c>
      <c r="O34" s="8"/>
      <c r="P34" s="8"/>
      <c r="Q34" s="8"/>
      <c r="R34" s="8"/>
      <c r="S34" s="8"/>
      <c r="T34" s="8"/>
      <c r="U34" s="8"/>
      <c r="V34" s="16">
        <f>Parameters!C17</f>
        <v>3.1399077404942015E-2</v>
      </c>
      <c r="W34" s="16">
        <f>(V34*$U$31)/(Parameters!B17*POWER(Parameters!$B$8,$C$31))</f>
        <v>0.19039439721402632</v>
      </c>
      <c r="X34" s="6">
        <f t="shared" si="43"/>
        <v>2577242879.4927239</v>
      </c>
      <c r="Y34" s="8">
        <f>Parameters!D17</f>
        <v>1.0886748490444263E-2</v>
      </c>
      <c r="Z34" s="8">
        <f>(Y34*$U$31)/(Parameters!B17*POWER(Parameters!$B$8,$C$31))</f>
        <v>6.6013911483036272E-2</v>
      </c>
      <c r="AA34" s="6">
        <f t="shared" si="44"/>
        <v>893586606.57365429</v>
      </c>
      <c r="AB34" s="3"/>
      <c r="AC34" s="3"/>
      <c r="AD34" s="6">
        <f>Parameters!B17*POWER(Parameters!$B$8,$C$31)</f>
        <v>13536337818.783562</v>
      </c>
      <c r="AE34" s="6">
        <f>$AE$31*Parameters!E17</f>
        <v>3404342864.5710812</v>
      </c>
      <c r="AF34" s="6">
        <f t="shared" si="45"/>
        <v>14363437803.861919</v>
      </c>
      <c r="AG34" s="6">
        <f t="shared" si="37"/>
        <v>16047094076.780989</v>
      </c>
      <c r="AH34" s="8">
        <f t="shared" si="46"/>
        <v>412245.68</v>
      </c>
      <c r="AI34" s="6">
        <f t="shared" si="47"/>
        <v>34841.936497337992</v>
      </c>
      <c r="AJ34" s="6">
        <f t="shared" si="38"/>
        <v>38926.045451297367</v>
      </c>
      <c r="AK34" s="19">
        <f t="shared" si="39"/>
        <v>3.5925942461671379</v>
      </c>
      <c r="AL34" s="19">
        <f t="shared" si="48"/>
        <v>15.68534741867067</v>
      </c>
      <c r="AM34" s="19">
        <f t="shared" si="49"/>
        <v>0.99997129895463543</v>
      </c>
      <c r="AN34" s="19">
        <f t="shared" si="40"/>
        <v>4.5421022848757007</v>
      </c>
      <c r="AO34" s="23">
        <f t="shared" si="41"/>
        <v>3.599797259700086</v>
      </c>
      <c r="AP34" s="23">
        <f t="shared" si="50"/>
        <v>15.776578374011097</v>
      </c>
      <c r="AQ34" s="23">
        <f t="shared" si="51"/>
        <v>0.99997431025966277</v>
      </c>
      <c r="AR34" s="23">
        <f t="shared" si="42"/>
        <v>4.5902402854054092</v>
      </c>
      <c r="AT34">
        <v>1.8954140038965466</v>
      </c>
      <c r="AX34">
        <f t="shared" si="52"/>
        <v>2.1312208437596749</v>
      </c>
      <c r="BB34">
        <v>1.8973131685886981</v>
      </c>
      <c r="BF34">
        <f t="shared" si="53"/>
        <v>2.1424846056402389</v>
      </c>
    </row>
    <row r="35" spans="1:58" x14ac:dyDescent="0.2">
      <c r="A35">
        <v>4</v>
      </c>
      <c r="D35" s="6"/>
      <c r="F35" s="5"/>
      <c r="G35" s="6"/>
      <c r="H35" s="6"/>
      <c r="I35" s="8"/>
      <c r="J35" s="8"/>
      <c r="K35" s="8"/>
      <c r="L35" s="8"/>
      <c r="M35" s="8"/>
      <c r="N35" s="8">
        <f>$N$31*Parameters!E18</f>
        <v>2978800006.4996963</v>
      </c>
      <c r="O35" s="8"/>
      <c r="P35" s="8"/>
      <c r="Q35" s="8"/>
      <c r="R35" s="8"/>
      <c r="S35" s="8"/>
      <c r="T35" s="8"/>
      <c r="U35" s="8"/>
      <c r="V35" s="16">
        <f>Parameters!C18</f>
        <v>5.1692242898110294E-2</v>
      </c>
      <c r="W35" s="16">
        <f>(V35*$U$31)/(Parameters!B18*POWER(Parameters!$B$8,$C$31))</f>
        <v>0.19867241448420137</v>
      </c>
      <c r="X35" s="6">
        <f t="shared" si="43"/>
        <v>4242910172.6789765</v>
      </c>
      <c r="Y35" s="8">
        <f>Parameters!D18</f>
        <v>2.2901398806974758E-2</v>
      </c>
      <c r="Z35" s="8">
        <f>(Y35*$U$31)/(Parameters!B18*POWER(Parameters!$B$8,$C$31))</f>
        <v>8.8018548644048358E-2</v>
      </c>
      <c r="AA35" s="6">
        <f t="shared" si="44"/>
        <v>1879751632.3332829</v>
      </c>
      <c r="AB35" s="3"/>
      <c r="AC35" s="3"/>
      <c r="AD35" s="6">
        <f>Parameters!B18*POWER(Parameters!$B$8,$C$31)</f>
        <v>21356312519.252022</v>
      </c>
      <c r="AE35" s="6"/>
      <c r="AF35" s="6">
        <f t="shared" si="45"/>
        <v>17113402346.573046</v>
      </c>
      <c r="AG35" s="6">
        <f t="shared" si="37"/>
        <v>19476560886.918739</v>
      </c>
      <c r="AH35" s="8">
        <f t="shared" si="46"/>
        <v>412245.68</v>
      </c>
      <c r="AI35" s="6">
        <f t="shared" si="47"/>
        <v>41512.629911787182</v>
      </c>
      <c r="AJ35" s="6">
        <f t="shared" si="38"/>
        <v>47245.03331828423</v>
      </c>
      <c r="AK35" s="19">
        <f t="shared" si="39"/>
        <v>3.6038837634163841</v>
      </c>
      <c r="AL35" s="19">
        <f t="shared" si="48"/>
        <v>16.814299143595292</v>
      </c>
      <c r="AM35" s="19">
        <f t="shared" si="49"/>
        <v>0.99997591094560556</v>
      </c>
      <c r="AN35" s="19">
        <f t="shared" si="40"/>
        <v>4.6181802477123499</v>
      </c>
      <c r="AO35" s="23">
        <f t="shared" si="41"/>
        <v>3.6118960514500928</v>
      </c>
      <c r="AP35" s="23">
        <f t="shared" si="50"/>
        <v>16.986457549011782</v>
      </c>
      <c r="AQ35" s="23">
        <f t="shared" si="51"/>
        <v>0.99997883375394692</v>
      </c>
      <c r="AR35" s="23">
        <f t="shared" si="42"/>
        <v>4.6743561596000527</v>
      </c>
      <c r="AT35">
        <v>1.8983897817404054</v>
      </c>
      <c r="AX35">
        <f t="shared" si="52"/>
        <v>2.1489951716354203</v>
      </c>
      <c r="BB35">
        <v>1.9004988954088062</v>
      </c>
      <c r="BF35">
        <f t="shared" si="53"/>
        <v>2.162025938697326</v>
      </c>
    </row>
    <row r="36" spans="1:58" x14ac:dyDescent="0.2">
      <c r="A36">
        <v>5</v>
      </c>
      <c r="D36" s="6"/>
      <c r="E36" s="5"/>
      <c r="F36" s="6"/>
      <c r="G36" s="6"/>
      <c r="H36" s="6"/>
      <c r="I36" s="8"/>
      <c r="J36" s="8"/>
      <c r="K36" s="6"/>
      <c r="L36" s="6"/>
      <c r="M36" s="6"/>
      <c r="N36" s="8">
        <f>$N$31*Parameters!E19</f>
        <v>2553257148.4283109</v>
      </c>
      <c r="O36" s="6"/>
      <c r="P36" s="6"/>
      <c r="Q36" s="6"/>
      <c r="R36" s="6"/>
      <c r="S36" s="6"/>
      <c r="T36" s="6"/>
      <c r="U36" s="6"/>
      <c r="V36" s="16">
        <f>Parameters!C19</f>
        <v>7.0583126136746943E-2</v>
      </c>
      <c r="W36" s="16">
        <f>(V36*$U$31)/(Parameters!B19*POWER(Parameters!$B$8,$C$31))</f>
        <v>0.20695043175437644</v>
      </c>
      <c r="X36" s="6">
        <f t="shared" si="43"/>
        <v>5793477843.3851814</v>
      </c>
      <c r="Y36" s="8">
        <f>Parameters!D19</f>
        <v>3.7524833052111288E-2</v>
      </c>
      <c r="Z36" s="8">
        <f>(Y36*$U$31)/(Parameters!B19*POWER(Parameters!$B$8,$C$31))</f>
        <v>0.11002318580506044</v>
      </c>
      <c r="AA36" s="6">
        <f t="shared" si="44"/>
        <v>3080046191.8185344</v>
      </c>
      <c r="AB36" s="3"/>
      <c r="AC36" s="3"/>
      <c r="AD36" s="6">
        <f>Parameters!B19*POWER(Parameters!$B$8,$C$31)</f>
        <v>27994519239.569862</v>
      </c>
      <c r="AE36" s="6"/>
      <c r="AF36" s="6">
        <f t="shared" si="45"/>
        <v>22201041396.184681</v>
      </c>
      <c r="AG36" s="6">
        <f t="shared" si="37"/>
        <v>24914473047.751328</v>
      </c>
      <c r="AH36" s="8">
        <f t="shared" si="46"/>
        <v>412245.68</v>
      </c>
      <c r="AI36" s="6">
        <f t="shared" si="47"/>
        <v>53853.909145111436</v>
      </c>
      <c r="AJ36" s="6">
        <f t="shared" si="38"/>
        <v>60435.983338264035</v>
      </c>
      <c r="AK36" s="19">
        <f t="shared" si="39"/>
        <v>3.6197362520180341</v>
      </c>
      <c r="AL36" s="19">
        <f t="shared" si="48"/>
        <v>18.399548003760291</v>
      </c>
      <c r="AM36" s="19">
        <f t="shared" si="49"/>
        <v>0.99998143124583017</v>
      </c>
      <c r="AN36" s="19">
        <f t="shared" si="40"/>
        <v>4.7312172333263378</v>
      </c>
      <c r="AO36" s="23">
        <f t="shared" si="41"/>
        <v>3.6264236224299125</v>
      </c>
      <c r="AP36" s="23">
        <f t="shared" si="50"/>
        <v>18.43921464699374</v>
      </c>
      <c r="AQ36" s="23">
        <f t="shared" si="51"/>
        <v>0.9999834535661577</v>
      </c>
      <c r="AR36" s="23">
        <f t="shared" si="42"/>
        <v>4.7812955927948098</v>
      </c>
      <c r="AT36">
        <v>1.9025604463506629</v>
      </c>
      <c r="AX36">
        <f t="shared" si="52"/>
        <v>2.1751361413314658</v>
      </c>
      <c r="BB36">
        <v>1.9043171013331557</v>
      </c>
      <c r="BF36">
        <f t="shared" si="53"/>
        <v>2.1866173860085376</v>
      </c>
    </row>
    <row r="37" spans="1:58" x14ac:dyDescent="0.2">
      <c r="A37">
        <v>6</v>
      </c>
      <c r="N37" s="8">
        <f>$N$31*Parameters!E20</f>
        <v>2127714290.356926</v>
      </c>
      <c r="O37" s="8"/>
      <c r="P37" s="8"/>
      <c r="Q37" s="8"/>
      <c r="R37" s="8"/>
      <c r="S37" s="8"/>
      <c r="T37" s="8"/>
      <c r="U37" s="8"/>
      <c r="V37" s="16">
        <f>Parameters!C20</f>
        <v>9.0905110853151228E-2</v>
      </c>
      <c r="W37" s="16">
        <f>(V37*$U$31)/(Parameters!B20*POWER(Parameters!$B$8,$C$31))</f>
        <v>0.22350646629472659</v>
      </c>
      <c r="X37" s="6">
        <f t="shared" si="43"/>
        <v>7461510624.4779615</v>
      </c>
      <c r="Y37" s="8">
        <f>Parameters!D20</f>
        <v>5.3698687476024153E-2</v>
      </c>
      <c r="Z37" s="8">
        <f>(Y37*$U$31)/(Parameters!B20*POWER(Parameters!$B$8,$C$31))</f>
        <v>0.13202782296607252</v>
      </c>
      <c r="AA37" s="6">
        <f t="shared" si="44"/>
        <v>4407599565.7727804</v>
      </c>
      <c r="AB37" s="3"/>
      <c r="AC37" s="3"/>
      <c r="AD37" s="6">
        <f>Parameters!B20*POWER(Parameters!$B$8,$C$31)</f>
        <v>33383869147.834175</v>
      </c>
      <c r="AE37" s="6"/>
      <c r="AF37" s="6">
        <f t="shared" si="45"/>
        <v>25922358523.356213</v>
      </c>
      <c r="AG37" s="6">
        <f t="shared" si="37"/>
        <v>28976269582.061394</v>
      </c>
      <c r="AH37" s="8">
        <f t="shared" si="46"/>
        <v>412245.68</v>
      </c>
      <c r="AI37" s="6">
        <f t="shared" si="47"/>
        <v>62880.84940843095</v>
      </c>
      <c r="AJ37" s="6">
        <f t="shared" si="38"/>
        <v>70288.837428354353</v>
      </c>
      <c r="AK37" s="19">
        <f t="shared" si="39"/>
        <v>3.6286775799352302</v>
      </c>
      <c r="AL37" s="19">
        <f t="shared" si="48"/>
        <v>19.293680795479908</v>
      </c>
      <c r="AM37" s="19">
        <f t="shared" si="49"/>
        <v>0.99998409690693735</v>
      </c>
      <c r="AN37" s="19">
        <f t="shared" si="40"/>
        <v>4.7985183996169569</v>
      </c>
      <c r="AO37" s="23">
        <f t="shared" si="41"/>
        <v>3.634884641005935</v>
      </c>
      <c r="AP37" s="23">
        <f t="shared" si="50"/>
        <v>19.285316504595997</v>
      </c>
      <c r="AQ37" s="23">
        <f t="shared" si="51"/>
        <v>0.9999857729899001</v>
      </c>
      <c r="AR37" s="23">
        <f t="shared" si="42"/>
        <v>4.8468863601806742</v>
      </c>
      <c r="AT37">
        <v>1.9049088114487869</v>
      </c>
      <c r="AX37">
        <f t="shared" si="52"/>
        <v>2.1905520764448756</v>
      </c>
      <c r="BB37">
        <v>1.9065373431973303</v>
      </c>
      <c r="BF37">
        <f t="shared" si="53"/>
        <v>2.2015645255546508</v>
      </c>
    </row>
    <row r="38" spans="1:58" x14ac:dyDescent="0.2">
      <c r="A38">
        <v>7</v>
      </c>
      <c r="N38" s="8">
        <f>$N$31*Parameters!E21</f>
        <v>1702171432.2855406</v>
      </c>
      <c r="V38" s="16">
        <f>Parameters!C21</f>
        <v>0.11035602414482847</v>
      </c>
      <c r="W38" s="16">
        <f>(V38*$U$31)/(Parameters!B21*POWER(Parameters!$B$8,$C$31))</f>
        <v>0.23178448356490167</v>
      </c>
      <c r="X38" s="6">
        <f t="shared" si="43"/>
        <v>9058045679.7632313</v>
      </c>
      <c r="Y38" s="8">
        <f>Parameters!D21</f>
        <v>8.3813868210341438E-2</v>
      </c>
      <c r="Z38" s="8">
        <f>(Y38*$U$31)/(Parameters!B21*POWER(Parameters!$B$8,$C$31))</f>
        <v>0.17603709728809672</v>
      </c>
      <c r="AA38" s="6">
        <f t="shared" si="44"/>
        <v>6879459936.4198408</v>
      </c>
      <c r="AD38" s="6">
        <f>Parameters!B21*POWER(Parameters!$B$8,$C$31)</f>
        <v>39079603347.24865</v>
      </c>
      <c r="AE38" s="6"/>
      <c r="AF38" s="6">
        <f t="shared" si="45"/>
        <v>30021557667.48542</v>
      </c>
      <c r="AG38" s="6">
        <f t="shared" si="37"/>
        <v>32200143410.828808</v>
      </c>
      <c r="AH38" s="8">
        <f t="shared" si="46"/>
        <v>412245.68</v>
      </c>
      <c r="AI38" s="6">
        <f t="shared" si="47"/>
        <v>72824.432429432418</v>
      </c>
      <c r="AJ38" s="6">
        <f t="shared" si="38"/>
        <v>78109.110593539284</v>
      </c>
      <c r="AK38" s="19">
        <f t="shared" si="39"/>
        <v>3.6368223373151616</v>
      </c>
      <c r="AL38" s="19">
        <f t="shared" si="48"/>
        <v>20.108156533473043</v>
      </c>
      <c r="AM38" s="19">
        <f t="shared" si="49"/>
        <v>0.99998626834474857</v>
      </c>
      <c r="AN38" s="19">
        <f t="shared" si="40"/>
        <v>4.8622771085592156</v>
      </c>
      <c r="AO38" s="23">
        <f t="shared" si="41"/>
        <v>3.6406006604540662</v>
      </c>
      <c r="AP38" s="23">
        <f t="shared" si="50"/>
        <v>19.856918449409111</v>
      </c>
      <c r="AQ38" s="23">
        <f t="shared" si="51"/>
        <v>0.99998719739615005</v>
      </c>
      <c r="AR38" s="23">
        <f t="shared" si="42"/>
        <v>4.8927016926447742</v>
      </c>
      <c r="AT38">
        <v>1.9070454471027065</v>
      </c>
      <c r="AX38">
        <f t="shared" si="52"/>
        <v>2.2050571667326939</v>
      </c>
      <c r="BB38">
        <v>1.9080358121518752</v>
      </c>
      <c r="BF38">
        <f t="shared" si="53"/>
        <v>2.2119452282198973</v>
      </c>
    </row>
    <row r="39" spans="1:58" x14ac:dyDescent="0.2">
      <c r="A39">
        <v>8</v>
      </c>
      <c r="N39" s="8">
        <f>$N$31*Parameters!E22</f>
        <v>1276628574.2141554</v>
      </c>
      <c r="V39" s="16">
        <f>Parameters!C22</f>
        <v>0.13623161609900061</v>
      </c>
      <c r="W39" s="16">
        <f>(V39*$U$31)/(Parameters!B22*POWER(Parameters!$B$8,$C$31))</f>
        <v>0.24006250083507663</v>
      </c>
      <c r="X39" s="6">
        <f t="shared" si="43"/>
        <v>11181919711.363062</v>
      </c>
      <c r="Y39" s="8">
        <f>Parameters!D22</f>
        <v>0.13736006243615159</v>
      </c>
      <c r="Z39" s="8">
        <f>(Y39*$U$31)/(Parameters!B22*POWER(Parameters!$B$8,$C$31))</f>
        <v>0.242051008771133</v>
      </c>
      <c r="AA39" s="6">
        <f t="shared" si="44"/>
        <v>11274542824.131792</v>
      </c>
      <c r="AD39" s="6">
        <f>Parameters!B22*POWER(Parameters!$B$8,$C$31)</f>
        <v>46579201968.095222</v>
      </c>
      <c r="AE39" s="6"/>
      <c r="AF39" s="6">
        <f t="shared" si="45"/>
        <v>35397282256.732162</v>
      </c>
      <c r="AG39" s="6">
        <f t="shared" si="37"/>
        <v>35304659143.963432</v>
      </c>
      <c r="AH39" s="8">
        <f t="shared" si="46"/>
        <v>412245.68</v>
      </c>
      <c r="AI39" s="6">
        <f t="shared" si="47"/>
        <v>85864.531695595113</v>
      </c>
      <c r="AJ39" s="6">
        <f t="shared" si="38"/>
        <v>85639.85229381526</v>
      </c>
      <c r="AK39" s="19">
        <f t="shared" si="39"/>
        <v>3.645598121689694</v>
      </c>
      <c r="AL39" s="19">
        <f t="shared" si="48"/>
        <v>20.985734970926284</v>
      </c>
      <c r="AM39" s="19">
        <f t="shared" si="49"/>
        <v>0.99998835374769712</v>
      </c>
      <c r="AN39" s="19">
        <f t="shared" si="40"/>
        <v>4.9338138056255358</v>
      </c>
      <c r="AO39" s="23">
        <f t="shared" si="41"/>
        <v>3.6454614512402945</v>
      </c>
      <c r="AP39" s="23">
        <f t="shared" si="50"/>
        <v>20.342997528031947</v>
      </c>
      <c r="AQ39" s="23">
        <f t="shared" si="51"/>
        <v>0.99998832319331232</v>
      </c>
      <c r="AR39" s="23">
        <f t="shared" si="42"/>
        <v>4.9326759095794737</v>
      </c>
      <c r="AT39">
        <v>1.9093449457051217</v>
      </c>
      <c r="AX39">
        <f t="shared" si="52"/>
        <v>2.2212189909204216</v>
      </c>
      <c r="BB39">
        <v>1.9093091554906174</v>
      </c>
      <c r="BF39">
        <f t="shared" si="53"/>
        <v>2.2209628339032315</v>
      </c>
    </row>
    <row r="40" spans="1:58" x14ac:dyDescent="0.2">
      <c r="A40">
        <v>9</v>
      </c>
      <c r="N40" s="8">
        <f>$N$31*Parameters!E23</f>
        <v>851085716.14277029</v>
      </c>
      <c r="V40" s="16">
        <f>Parameters!C23</f>
        <v>0.17539672338276532</v>
      </c>
      <c r="W40" s="16">
        <f>(V40*$U$31)/(Parameters!B23*POWER(Parameters!$B$8,$C$31))</f>
        <v>0.24834051810525173</v>
      </c>
      <c r="X40" s="6">
        <f t="shared" si="43"/>
        <v>14396599957.215261</v>
      </c>
      <c r="Y40" s="8">
        <f>Parameters!D23</f>
        <v>0.21757858127224192</v>
      </c>
      <c r="Z40" s="8">
        <f>(Y40*$U$31)/(Parameters!B23*POWER(Parameters!$B$8,$C$31))</f>
        <v>0.30806492025416926</v>
      </c>
      <c r="AA40" s="6">
        <f t="shared" si="44"/>
        <v>17858895727.482601</v>
      </c>
      <c r="AD40" s="6">
        <f>Parameters!B23*POWER(Parameters!$B$8,$C$31)</f>
        <v>57971208512.634621</v>
      </c>
      <c r="AE40" s="6"/>
      <c r="AF40" s="6">
        <f t="shared" si="45"/>
        <v>43574608555.419357</v>
      </c>
      <c r="AG40" s="6">
        <f t="shared" si="37"/>
        <v>40112312785.152023</v>
      </c>
      <c r="AH40" s="8">
        <f t="shared" si="46"/>
        <v>412245.68</v>
      </c>
      <c r="AI40" s="6">
        <f t="shared" si="47"/>
        <v>105700.58261233776</v>
      </c>
      <c r="AJ40" s="6">
        <f t="shared" si="38"/>
        <v>97301.96029016489</v>
      </c>
      <c r="AK40" s="19">
        <f t="shared" si="39"/>
        <v>3.6561481884388596</v>
      </c>
      <c r="AL40" s="19">
        <f t="shared" si="48"/>
        <v>22.040741645842843</v>
      </c>
      <c r="AM40" s="19">
        <f t="shared" si="49"/>
        <v>0.99999053931420923</v>
      </c>
      <c r="AN40" s="19">
        <f t="shared" si="40"/>
        <v>5.0240773811071051</v>
      </c>
      <c r="AO40" s="23">
        <f t="shared" si="41"/>
        <v>3.6520138401730273</v>
      </c>
      <c r="AP40" s="23">
        <f t="shared" si="50"/>
        <v>20.998236421305229</v>
      </c>
      <c r="AQ40" s="23">
        <f t="shared" si="51"/>
        <v>0.99998972271476327</v>
      </c>
      <c r="AR40" s="23">
        <f t="shared" si="42"/>
        <v>4.9881215898534057</v>
      </c>
      <c r="AT40">
        <v>1.9121056948921153</v>
      </c>
      <c r="AX40">
        <f t="shared" si="52"/>
        <v>2.2414453776764458</v>
      </c>
      <c r="BB40">
        <v>1.9110242908380384</v>
      </c>
      <c r="BF40">
        <f t="shared" si="53"/>
        <v>2.2334103048596794</v>
      </c>
    </row>
    <row r="41" spans="1:58" x14ac:dyDescent="0.2">
      <c r="A41">
        <v>10</v>
      </c>
      <c r="N41" s="8">
        <f>$N$31*Parameters!E24</f>
        <v>425542858.07138515</v>
      </c>
      <c r="V41" s="16">
        <f>Parameters!C24</f>
        <v>0.31542540330404345</v>
      </c>
      <c r="W41" s="16">
        <f>(V41*$U$31)/(Parameters!B24*POWER(Parameters!$B$8,$C$31))</f>
        <v>0.25661853537542684</v>
      </c>
      <c r="X41" s="6">
        <f t="shared" si="43"/>
        <v>25890183465.980343</v>
      </c>
      <c r="Y41" s="8">
        <f>Parameters!D24</f>
        <v>0.43275574250579357</v>
      </c>
      <c r="Z41" s="8">
        <f>(Y41*$U$31)/(Parameters!B24*POWER(Parameters!$B$8,$C$31))</f>
        <v>0.35207419457619343</v>
      </c>
      <c r="AA41" s="6">
        <f t="shared" si="44"/>
        <v>35520682392.951439</v>
      </c>
      <c r="AD41" s="6">
        <f>Parameters!B24*POWER(Parameters!$B$8,$C$31)</f>
        <v>100889763976.33795</v>
      </c>
      <c r="AE41" s="6"/>
      <c r="AF41" s="6">
        <f t="shared" si="45"/>
        <v>74999580510.357605</v>
      </c>
      <c r="AG41" s="6">
        <f t="shared" si="37"/>
        <v>65369081583.386513</v>
      </c>
      <c r="AH41" s="8">
        <f t="shared" si="46"/>
        <v>412245.68</v>
      </c>
      <c r="AI41" s="6">
        <f t="shared" si="47"/>
        <v>181929.33037007836</v>
      </c>
      <c r="AJ41" s="6">
        <f t="shared" si="38"/>
        <v>158568.26342822201</v>
      </c>
      <c r="AK41" s="19">
        <f t="shared" si="39"/>
        <v>3.6811660032206919</v>
      </c>
      <c r="AL41" s="19">
        <f t="shared" si="48"/>
        <v>24.542523124026072</v>
      </c>
      <c r="AM41" s="19">
        <f t="shared" si="49"/>
        <v>0.99999450336018958</v>
      </c>
      <c r="AN41" s="19">
        <f t="shared" si="40"/>
        <v>5.2599027210042211</v>
      </c>
      <c r="AO41" s="23">
        <f t="shared" si="41"/>
        <v>3.6751639605232609</v>
      </c>
      <c r="AP41" s="23">
        <f t="shared" si="50"/>
        <v>23.313248456328584</v>
      </c>
      <c r="AQ41" s="23">
        <f t="shared" si="51"/>
        <v>0.99999369356781498</v>
      </c>
      <c r="AR41" s="23">
        <f t="shared" si="42"/>
        <v>5.2002162700105661</v>
      </c>
      <c r="AT41">
        <v>1.9186364958534203</v>
      </c>
      <c r="AX41">
        <f t="shared" si="52"/>
        <v>2.2934477803089872</v>
      </c>
      <c r="BB41">
        <v>1.9170717150183143</v>
      </c>
      <c r="BF41">
        <f t="shared" si="53"/>
        <v>2.2803982700420042</v>
      </c>
    </row>
    <row r="44" spans="1:58" x14ac:dyDescent="0.2">
      <c r="A44" s="38" t="s">
        <v>182</v>
      </c>
    </row>
  </sheetData>
  <mergeCells count="40">
    <mergeCell ref="B1:C1"/>
    <mergeCell ref="D1:H1"/>
    <mergeCell ref="I1:N1"/>
    <mergeCell ref="V1:X1"/>
    <mergeCell ref="Y1:AA1"/>
    <mergeCell ref="AB15:AC15"/>
    <mergeCell ref="AD15:AE15"/>
    <mergeCell ref="AK15:AN15"/>
    <mergeCell ref="AO15:AR15"/>
    <mergeCell ref="AD1:AE1"/>
    <mergeCell ref="AO1:AR1"/>
    <mergeCell ref="AB1:AC1"/>
    <mergeCell ref="AK1:AN1"/>
    <mergeCell ref="B15:C15"/>
    <mergeCell ref="D15:H15"/>
    <mergeCell ref="I15:N15"/>
    <mergeCell ref="V15:X15"/>
    <mergeCell ref="Y15:AA15"/>
    <mergeCell ref="AB29:AC29"/>
    <mergeCell ref="BE29:BH29"/>
    <mergeCell ref="AD29:AE29"/>
    <mergeCell ref="AK29:AN29"/>
    <mergeCell ref="AO29:AR29"/>
    <mergeCell ref="AS29:AV29"/>
    <mergeCell ref="AW29:AZ29"/>
    <mergeCell ref="BA29:BD29"/>
    <mergeCell ref="B29:C29"/>
    <mergeCell ref="D29:H29"/>
    <mergeCell ref="I29:N29"/>
    <mergeCell ref="V29:X29"/>
    <mergeCell ref="Y29:AA29"/>
    <mergeCell ref="BI1:BJ1"/>
    <mergeCell ref="AS15:AV15"/>
    <mergeCell ref="AW15:AZ15"/>
    <mergeCell ref="BA15:BD15"/>
    <mergeCell ref="BE15:BH15"/>
    <mergeCell ref="BE1:BH1"/>
    <mergeCell ref="AS1:AV1"/>
    <mergeCell ref="AW1:AZ1"/>
    <mergeCell ref="BA1:B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85F5-30F3-46DA-8898-B36046B3144F}">
  <dimension ref="A1:CI41"/>
  <sheetViews>
    <sheetView topLeftCell="AL1" zoomScale="83" workbookViewId="0">
      <selection activeCell="AS30" sqref="AS30"/>
    </sheetView>
  </sheetViews>
  <sheetFormatPr baseColWidth="10" defaultColWidth="8.83203125" defaultRowHeight="15" x14ac:dyDescent="0.2"/>
  <cols>
    <col min="3" max="3" width="16" customWidth="1"/>
    <col min="4" max="4" width="27.5" bestFit="1" customWidth="1"/>
    <col min="5" max="5" width="26.83203125" customWidth="1"/>
    <col min="6" max="8" width="28.5" customWidth="1"/>
    <col min="9" max="9" width="35.5" bestFit="1" customWidth="1"/>
    <col min="10" max="13" width="31.5" customWidth="1"/>
    <col min="14" max="21" width="27.83203125" customWidth="1"/>
    <col min="22" max="22" width="28.83203125" customWidth="1"/>
    <col min="23" max="26" width="27.83203125" customWidth="1"/>
    <col min="27" max="27" width="36.5" bestFit="1" customWidth="1"/>
    <col min="28" max="28" width="25.33203125" bestFit="1" customWidth="1"/>
    <col min="29" max="39" width="31.83203125" customWidth="1"/>
    <col min="40" max="40" width="38.6640625" bestFit="1" customWidth="1"/>
    <col min="41" max="47" width="38.6640625" customWidth="1"/>
    <col min="48" max="48" width="11.5" customWidth="1"/>
    <col min="49" max="49" width="14.5" bestFit="1" customWidth="1"/>
    <col min="50" max="50" width="11.1640625" customWidth="1"/>
    <col min="51" max="52" width="12" customWidth="1"/>
    <col min="53" max="53" width="14.5" bestFit="1" customWidth="1"/>
    <col min="54" max="55" width="12" customWidth="1"/>
    <col min="56" max="56" width="16" bestFit="1" customWidth="1"/>
    <col min="57" max="57" width="14.5" bestFit="1" customWidth="1"/>
    <col min="58" max="58" width="16" bestFit="1" customWidth="1"/>
    <col min="59" max="59" width="14.83203125" bestFit="1" customWidth="1"/>
    <col min="60" max="60" width="16" bestFit="1" customWidth="1"/>
    <col min="61" max="61" width="14.5" bestFit="1" customWidth="1"/>
    <col min="62" max="62" width="12.5" bestFit="1" customWidth="1"/>
    <col min="63" max="63" width="14.83203125" bestFit="1" customWidth="1"/>
    <col min="64" max="64" width="10.5" bestFit="1" customWidth="1"/>
    <col min="65" max="65" width="12.83203125" bestFit="1" customWidth="1"/>
    <col min="66" max="66" width="13.5" customWidth="1"/>
    <col min="67" max="67" width="8.83203125" customWidth="1"/>
    <col min="69" max="69" width="12.83203125" bestFit="1" customWidth="1"/>
    <col min="71" max="71" width="10.83203125" customWidth="1"/>
    <col min="72" max="72" width="16" bestFit="1" customWidth="1"/>
    <col min="75" max="75" width="14.83203125" bestFit="1" customWidth="1"/>
    <col min="76" max="76" width="16" bestFit="1" customWidth="1"/>
    <col min="79" max="79" width="14.83203125" bestFit="1" customWidth="1"/>
    <col min="80" max="80" width="15.1640625" bestFit="1" customWidth="1"/>
    <col min="81" max="81" width="21.83203125" customWidth="1"/>
    <col min="82" max="82" width="17.33203125" customWidth="1"/>
    <col min="83" max="83" width="14.83203125" bestFit="1" customWidth="1"/>
    <col min="84" max="84" width="28.1640625" customWidth="1"/>
    <col min="85" max="86" width="16.6640625" customWidth="1"/>
    <col min="87" max="87" width="16.5" customWidth="1"/>
  </cols>
  <sheetData>
    <row r="1" spans="1:87" s="2" customFormat="1" x14ac:dyDescent="0.2">
      <c r="A1" s="2" t="s">
        <v>90</v>
      </c>
      <c r="B1" s="51" t="s">
        <v>39</v>
      </c>
      <c r="C1" s="51"/>
      <c r="D1" s="51" t="s">
        <v>47</v>
      </c>
      <c r="E1" s="51"/>
      <c r="F1" s="51"/>
      <c r="G1" s="51"/>
      <c r="H1" s="52"/>
      <c r="I1" s="51"/>
      <c r="J1" s="51"/>
      <c r="K1" s="51"/>
      <c r="L1" s="51"/>
      <c r="M1" s="51"/>
      <c r="N1" s="51"/>
      <c r="O1" s="15"/>
      <c r="P1" s="15"/>
      <c r="Q1" s="15"/>
      <c r="R1" s="15"/>
      <c r="S1" s="15"/>
      <c r="T1" s="15"/>
      <c r="U1" s="51" t="s">
        <v>156</v>
      </c>
      <c r="V1" s="51"/>
      <c r="W1" s="51"/>
      <c r="X1" s="51" t="s">
        <v>159</v>
      </c>
      <c r="Y1" s="51"/>
      <c r="Z1" s="51"/>
      <c r="AA1" s="51" t="s">
        <v>91</v>
      </c>
      <c r="AB1" s="51"/>
      <c r="AC1" s="51" t="s">
        <v>48</v>
      </c>
      <c r="AD1" s="51"/>
      <c r="AE1" s="51" t="s">
        <v>137</v>
      </c>
      <c r="AF1" s="51"/>
      <c r="AG1" s="51" t="s">
        <v>87</v>
      </c>
      <c r="AH1" s="51"/>
      <c r="AI1" s="2" t="s">
        <v>104</v>
      </c>
      <c r="AJ1" s="51" t="s">
        <v>162</v>
      </c>
      <c r="AK1" s="51"/>
      <c r="AL1" s="51" t="s">
        <v>93</v>
      </c>
      <c r="AM1" s="51"/>
      <c r="AN1" s="51" t="s">
        <v>164</v>
      </c>
      <c r="AO1" s="51"/>
      <c r="AP1" s="51"/>
      <c r="AQ1" s="51"/>
      <c r="AR1" s="51" t="s">
        <v>165</v>
      </c>
      <c r="AS1" s="51"/>
      <c r="AT1" s="51"/>
      <c r="AU1" s="51"/>
      <c r="AV1" s="51" t="s">
        <v>166</v>
      </c>
      <c r="AW1" s="51"/>
      <c r="AX1" s="51"/>
      <c r="AY1" s="51"/>
      <c r="AZ1" s="51" t="s">
        <v>167</v>
      </c>
      <c r="BA1" s="51"/>
      <c r="BB1" s="51"/>
      <c r="BC1" s="51"/>
      <c r="BD1" s="51" t="s">
        <v>168</v>
      </c>
      <c r="BE1" s="51"/>
      <c r="BF1" s="51"/>
      <c r="BG1" s="51"/>
      <c r="BH1" s="51" t="s">
        <v>169</v>
      </c>
      <c r="BI1" s="51"/>
      <c r="BJ1" s="51"/>
      <c r="BK1" s="51"/>
      <c r="BL1" s="51" t="s">
        <v>171</v>
      </c>
      <c r="BM1" s="51"/>
      <c r="BN1" s="51"/>
      <c r="BO1" s="51"/>
      <c r="BP1" s="51" t="s">
        <v>170</v>
      </c>
      <c r="BQ1" s="51"/>
      <c r="BR1" s="51"/>
      <c r="BS1" s="51"/>
      <c r="BT1" s="51" t="s">
        <v>173</v>
      </c>
      <c r="BU1" s="51"/>
      <c r="BV1" s="51"/>
      <c r="BW1" s="51"/>
      <c r="BX1" s="51" t="s">
        <v>174</v>
      </c>
      <c r="BY1" s="51"/>
      <c r="BZ1" s="51"/>
      <c r="CA1" s="51"/>
      <c r="CB1" s="51" t="s">
        <v>175</v>
      </c>
      <c r="CC1" s="51"/>
      <c r="CD1" s="51"/>
      <c r="CE1" s="51" t="s">
        <v>176</v>
      </c>
      <c r="CF1" s="51"/>
      <c r="CG1" s="51"/>
      <c r="CH1" s="51" t="s">
        <v>239</v>
      </c>
      <c r="CI1" s="51"/>
    </row>
    <row r="2" spans="1:87" s="9" customFormat="1" x14ac:dyDescent="0.2">
      <c r="B2" s="9" t="s">
        <v>39</v>
      </c>
      <c r="C2" s="9" t="s">
        <v>52</v>
      </c>
      <c r="D2" s="9" t="s">
        <v>53</v>
      </c>
      <c r="E2" s="9" t="s">
        <v>54</v>
      </c>
      <c r="F2" s="9" t="s">
        <v>55</v>
      </c>
      <c r="G2" s="9" t="s">
        <v>56</v>
      </c>
      <c r="H2" s="9" t="s">
        <v>57</v>
      </c>
      <c r="I2" s="9" t="s">
        <v>94</v>
      </c>
      <c r="J2" s="9" t="s">
        <v>59</v>
      </c>
      <c r="K2" s="9" t="s">
        <v>60</v>
      </c>
      <c r="L2" s="9" t="s">
        <v>61</v>
      </c>
      <c r="M2" s="9" t="s">
        <v>62</v>
      </c>
      <c r="N2" s="9" t="s">
        <v>95</v>
      </c>
      <c r="O2" s="9" t="s">
        <v>58</v>
      </c>
      <c r="P2" s="9" t="s">
        <v>59</v>
      </c>
      <c r="Q2" s="9" t="s">
        <v>60</v>
      </c>
      <c r="R2" s="9" t="s">
        <v>61</v>
      </c>
      <c r="S2" s="9" t="s">
        <v>62</v>
      </c>
      <c r="T2" s="11" t="s">
        <v>63</v>
      </c>
      <c r="U2" s="9" t="s">
        <v>64</v>
      </c>
      <c r="V2" s="9" t="s">
        <v>158</v>
      </c>
      <c r="W2" s="9" t="s">
        <v>66</v>
      </c>
      <c r="X2" s="9" t="s">
        <v>64</v>
      </c>
      <c r="Y2" s="9" t="s">
        <v>158</v>
      </c>
      <c r="Z2" s="9" t="s">
        <v>66</v>
      </c>
      <c r="AA2" s="9" t="s">
        <v>98</v>
      </c>
      <c r="AB2" s="9" t="s">
        <v>99</v>
      </c>
      <c r="AC2" s="9" t="s">
        <v>100</v>
      </c>
      <c r="AD2" s="9" t="s">
        <v>68</v>
      </c>
      <c r="AE2" s="9" t="s">
        <v>101</v>
      </c>
      <c r="AF2" s="9" t="s">
        <v>106</v>
      </c>
      <c r="AG2" s="9" t="s">
        <v>101</v>
      </c>
      <c r="AH2" s="9" t="s">
        <v>106</v>
      </c>
      <c r="AJ2" s="9" t="s">
        <v>103</v>
      </c>
      <c r="AK2" s="9" t="s">
        <v>70</v>
      </c>
      <c r="AL2" s="9" t="s">
        <v>103</v>
      </c>
      <c r="AM2" s="9" t="s">
        <v>70</v>
      </c>
      <c r="AN2" s="9" t="s">
        <v>163</v>
      </c>
      <c r="AO2" s="9" t="s">
        <v>178</v>
      </c>
      <c r="AP2" s="9" t="s">
        <v>179</v>
      </c>
      <c r="AQ2" s="9" t="s">
        <v>250</v>
      </c>
      <c r="AR2" s="9" t="s">
        <v>163</v>
      </c>
      <c r="AS2" s="9" t="s">
        <v>185</v>
      </c>
      <c r="AT2" s="40" t="s">
        <v>179</v>
      </c>
      <c r="AU2" s="9" t="s">
        <v>250</v>
      </c>
      <c r="AV2" s="17" t="s">
        <v>49</v>
      </c>
      <c r="AW2" s="9" t="s">
        <v>72</v>
      </c>
      <c r="AX2" s="9" t="s">
        <v>50</v>
      </c>
      <c r="AY2" s="9" t="s">
        <v>51</v>
      </c>
      <c r="AZ2" s="17" t="s">
        <v>49</v>
      </c>
      <c r="BA2" s="9" t="s">
        <v>72</v>
      </c>
      <c r="BB2" s="9" t="s">
        <v>50</v>
      </c>
      <c r="BC2" s="9" t="s">
        <v>51</v>
      </c>
      <c r="BD2" s="9" t="s">
        <v>49</v>
      </c>
      <c r="BE2" s="9" t="s">
        <v>72</v>
      </c>
      <c r="BF2" s="9" t="s">
        <v>50</v>
      </c>
      <c r="BG2" s="9" t="s">
        <v>51</v>
      </c>
      <c r="BH2" s="9" t="s">
        <v>49</v>
      </c>
      <c r="BI2" s="9" t="s">
        <v>72</v>
      </c>
      <c r="BJ2" s="9" t="s">
        <v>50</v>
      </c>
      <c r="BK2" s="9" t="s">
        <v>51</v>
      </c>
      <c r="BL2" s="17" t="s">
        <v>49</v>
      </c>
      <c r="BM2" s="9" t="s">
        <v>72</v>
      </c>
      <c r="BN2" s="9" t="s">
        <v>50</v>
      </c>
      <c r="BO2" s="9" t="s">
        <v>51</v>
      </c>
      <c r="BP2" s="17" t="s">
        <v>49</v>
      </c>
      <c r="BQ2" s="9" t="s">
        <v>72</v>
      </c>
      <c r="BR2" s="9" t="s">
        <v>50</v>
      </c>
      <c r="BS2" s="9" t="s">
        <v>51</v>
      </c>
      <c r="BT2" s="9" t="s">
        <v>49</v>
      </c>
      <c r="BU2" s="9" t="s">
        <v>72</v>
      </c>
      <c r="BV2" s="9" t="s">
        <v>50</v>
      </c>
      <c r="BW2" s="9" t="s">
        <v>51</v>
      </c>
      <c r="BX2" s="9" t="s">
        <v>49</v>
      </c>
      <c r="BY2" s="9" t="s">
        <v>72</v>
      </c>
      <c r="BZ2" s="9" t="s">
        <v>50</v>
      </c>
      <c r="CA2" s="9" t="s">
        <v>51</v>
      </c>
      <c r="CB2" s="9" t="s">
        <v>177</v>
      </c>
      <c r="CC2" s="9" t="s">
        <v>139</v>
      </c>
      <c r="CD2" s="9" t="s">
        <v>250</v>
      </c>
      <c r="CE2" s="9" t="s">
        <v>177</v>
      </c>
      <c r="CF2" s="9" t="s">
        <v>185</v>
      </c>
      <c r="CG2" s="9" t="s">
        <v>250</v>
      </c>
      <c r="CH2" s="9" t="s">
        <v>237</v>
      </c>
      <c r="CI2" s="9" t="s">
        <v>238</v>
      </c>
    </row>
    <row r="3" spans="1:87" x14ac:dyDescent="0.2">
      <c r="A3" t="s">
        <v>77</v>
      </c>
      <c r="B3">
        <v>2026</v>
      </c>
      <c r="C3">
        <v>2</v>
      </c>
      <c r="D3" s="6">
        <f>Parameters!$B$4</f>
        <v>27012.440000000002</v>
      </c>
      <c r="E3">
        <f>Parameters!$B$5</f>
        <v>20778.68</v>
      </c>
      <c r="F3" s="5">
        <f>Parameters!$B$8</f>
        <v>1.01088</v>
      </c>
      <c r="G3" s="6">
        <f>D3*POWER(F3,C3)</f>
        <v>27603.428275777536</v>
      </c>
      <c r="H3" s="6">
        <f>E3*POWER(F3,C3)</f>
        <v>21233.28374057779</v>
      </c>
      <c r="I3" s="8">
        <f>Parameters!B3*Parameters!B39</f>
        <v>232117.8</v>
      </c>
      <c r="J3" s="8">
        <f>I3*Parameters!$B$10</f>
        <v>97489.475999999995</v>
      </c>
      <c r="K3" s="8">
        <f>I3*Parameters!$B$9</f>
        <v>134628.32399999999</v>
      </c>
      <c r="L3" s="8">
        <f>J3*G3</f>
        <v>2691043758.4091353</v>
      </c>
      <c r="M3" s="8">
        <f>K3*H3</f>
        <v>2858601403.0104384</v>
      </c>
      <c r="N3" s="8">
        <f>M3+L3</f>
        <v>5549645161.4195738</v>
      </c>
      <c r="O3" s="8">
        <f>Parameters!B39</f>
        <v>932200</v>
      </c>
      <c r="P3" s="8">
        <f>O3*Parameters!$B$10</f>
        <v>391524</v>
      </c>
      <c r="Q3" s="8">
        <f>O3*Parameters!$B$9</f>
        <v>540676</v>
      </c>
      <c r="R3" s="8">
        <f>P3*G3</f>
        <v>10807404652.245523</v>
      </c>
      <c r="S3" s="8">
        <f>Q3*H3</f>
        <v>11480326919.720636</v>
      </c>
      <c r="T3" s="14">
        <f>S3+R3</f>
        <v>22287731571.96616</v>
      </c>
      <c r="W3" s="8">
        <f>SUM(W4:W13)</f>
        <v>22287731571.96616</v>
      </c>
      <c r="Z3" s="6">
        <f>SUM(Z4:Z13)</f>
        <v>22287731571.966164</v>
      </c>
      <c r="AA3" s="3">
        <f>Parameters!C39*Parameters!B2</f>
        <v>2728423.5</v>
      </c>
      <c r="AB3" s="3">
        <f>AA3+I3</f>
        <v>2960541.3</v>
      </c>
      <c r="AC3" s="6">
        <f>SUM(AC4:AC13)</f>
        <v>198650090348.23676</v>
      </c>
      <c r="AD3" s="6">
        <f>N3</f>
        <v>5549645161.4195738</v>
      </c>
      <c r="AE3" s="6">
        <f>AC3+AD3-W3</f>
        <v>181912003937.69019</v>
      </c>
      <c r="AF3" s="6">
        <f>AC3-W3</f>
        <v>176362358776.2706</v>
      </c>
      <c r="AG3" s="6">
        <f>AC3+AD3-Z3</f>
        <v>181912003937.69019</v>
      </c>
      <c r="AH3" s="6">
        <f>AC3-Z3</f>
        <v>176362358776.2706</v>
      </c>
      <c r="AI3" s="8"/>
      <c r="AJ3" s="6"/>
      <c r="AK3" s="6"/>
      <c r="AL3" s="6"/>
      <c r="AM3" s="6"/>
      <c r="AP3" t="s">
        <v>147</v>
      </c>
      <c r="AQ3" t="s">
        <v>147</v>
      </c>
      <c r="AT3" s="33" t="s">
        <v>147</v>
      </c>
      <c r="AU3" t="s">
        <v>147</v>
      </c>
      <c r="AV3" s="18">
        <f>SUM(AN4:AN13)</f>
        <v>35.993589568852563</v>
      </c>
      <c r="AW3" t="s">
        <v>50</v>
      </c>
      <c r="AX3">
        <f>SUM(AW4:AW13)</f>
        <v>18.971178603227191</v>
      </c>
      <c r="AY3" s="16">
        <f>MIN(AN5:AN13)</f>
        <v>3.5275243714055806</v>
      </c>
      <c r="AZ3" s="16">
        <f>SUM(AQ4:AQ13)</f>
        <v>46.39316655921008</v>
      </c>
      <c r="BA3" s="16"/>
      <c r="BB3" s="16">
        <f>SUM(BA4:BA13)</f>
        <v>21.517703781866494</v>
      </c>
      <c r="BC3" s="16">
        <f>MIN(AQ5:AQ13)</f>
        <v>4.160541170738175</v>
      </c>
      <c r="BD3" s="23">
        <f>SUM(AR4:AR13)</f>
        <v>36.013255853078014</v>
      </c>
      <c r="BF3">
        <f>SUM(BE4:BE13)</f>
        <v>18.976406907075258</v>
      </c>
      <c r="BG3" s="23">
        <f>MIN(AR5:AR13)</f>
        <v>3.5320690630446872</v>
      </c>
      <c r="BH3" s="23">
        <f>SUM(AU4:AU13)</f>
        <v>46.500385764886481</v>
      </c>
      <c r="BJ3">
        <f>SUM(BI3:BI13)</f>
        <v>21.543792806672382</v>
      </c>
      <c r="BK3" s="23">
        <f>MIN(AU5:AU13)</f>
        <v>4.1845375229765809</v>
      </c>
      <c r="BL3" s="18">
        <f>SUM(CB4:CB13)</f>
        <v>35.853622759852087</v>
      </c>
      <c r="BN3">
        <f>SUM(BM4:BM13)</f>
        <v>18.933424842649238</v>
      </c>
      <c r="BO3" s="16">
        <f>MIN(CB5:CB13)</f>
        <v>3.5071677238857499</v>
      </c>
      <c r="BP3" s="16">
        <f>SUM(CD4:CD13)</f>
        <v>45.791359120367972</v>
      </c>
      <c r="BQ3" s="16"/>
      <c r="BR3" s="16">
        <f>SUM(BQ4:BQ13)</f>
        <v>21.36428927531205</v>
      </c>
      <c r="BS3" s="16">
        <f>MIN(CD5:CD13)</f>
        <v>4.0570951269889175</v>
      </c>
      <c r="BT3" s="23">
        <f>SUM(CE4:CE13)</f>
        <v>35.884658112138119</v>
      </c>
      <c r="BV3">
        <f>SUM(BU4:BU13)</f>
        <v>18.941763073276643</v>
      </c>
      <c r="BW3" s="23">
        <f>MIN(CE5:CE13)</f>
        <v>3.5132475174961746</v>
      </c>
      <c r="BX3" s="23">
        <f>SUM(CG4:CG13)</f>
        <v>45.936067128762616</v>
      </c>
      <c r="BZ3">
        <f>SUM(BY3:BY13)</f>
        <v>21.400568175764416</v>
      </c>
      <c r="CA3" s="23">
        <f>MIN(CG5:CG13)</f>
        <v>4.0873253873637339</v>
      </c>
      <c r="CD3" s="9"/>
    </row>
    <row r="4" spans="1:87" x14ac:dyDescent="0.2">
      <c r="A4" s="31">
        <v>1</v>
      </c>
      <c r="D4" s="6"/>
      <c r="F4" s="5"/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16">
        <f>Parameters!C15</f>
        <v>3.6096393698449797E-3</v>
      </c>
      <c r="V4" s="5">
        <f>(U4*$T$3)/(Parameters!B15*POWER(Parameters!$B$8,$C$3))</f>
        <v>9.8644565474407739E-2</v>
      </c>
      <c r="W4" s="6">
        <f t="shared" ref="W4:W13" si="0">$T$3*U4</f>
        <v>80450673.346705988</v>
      </c>
      <c r="X4" s="8" cm="1">
        <f t="array" ref="X4:X13">Parameters!D15:D24</f>
        <v>0</v>
      </c>
      <c r="Y4" s="5">
        <f>(X4*$T$3)/(Parameters!B15*POWER(Parameters!$B$8,$C$3))</f>
        <v>0</v>
      </c>
      <c r="Z4" s="6">
        <f>$T$3*X4</f>
        <v>0</v>
      </c>
      <c r="AA4" s="3"/>
      <c r="AB4" s="3"/>
      <c r="AC4" s="6">
        <f>Parameters!B15*POWER(Parameters!$B$8,$C$3)</f>
        <v>815561130.60863996</v>
      </c>
      <c r="AD4" s="6">
        <f>$AD$3*Parameters!E15</f>
        <v>1009026392.9853771</v>
      </c>
      <c r="AE4" s="6">
        <f t="shared" ref="AE4:AE13" si="1">AC4+AD4-W4</f>
        <v>1744136850.2473111</v>
      </c>
      <c r="AF4" s="6">
        <f t="shared" ref="AF4:AF13" si="2">AC4-W4</f>
        <v>735110457.26193392</v>
      </c>
      <c r="AG4" s="6">
        <f t="shared" ref="AG4:AG13" si="3">AC4+AD4-Z4</f>
        <v>1824587523.594017</v>
      </c>
      <c r="AH4" s="6">
        <f t="shared" ref="AH4:AH13" si="4">AC4-Z4</f>
        <v>815561130.60863996</v>
      </c>
      <c r="AI4" s="8">
        <f>($AA$3+$I$3)/10</f>
        <v>296054.13</v>
      </c>
      <c r="AJ4" s="6">
        <f t="shared" ref="AJ4:AJ13" si="5">AE4/AI4</f>
        <v>5891.2768764526645</v>
      </c>
      <c r="AK4" s="6">
        <f>AF4/AI4</f>
        <v>2483.0271993230899</v>
      </c>
      <c r="AL4" s="6">
        <f>AG4/AI4</f>
        <v>6163.0199977079092</v>
      </c>
      <c r="AM4" s="6">
        <f>AH4/AI4</f>
        <v>2754.7703205783346</v>
      </c>
      <c r="AN4" s="19">
        <f>(POWER(AJ4, -0.26) - 1)/-0.26</f>
        <v>3.4436479939199649</v>
      </c>
      <c r="AO4" s="19">
        <f>(AN4-$AN$4)*100</f>
        <v>0</v>
      </c>
      <c r="AP4" s="19">
        <f>(POWER(AJ4, -1) - 1)/-1</f>
        <v>0.99983025751106747</v>
      </c>
      <c r="AQ4" s="19">
        <f>LOG(AJ4)</f>
        <v>3.770209434056631</v>
      </c>
      <c r="AR4" s="23">
        <f>(POWER(AL4, -0.26) - 1)/-0.26</f>
        <v>3.4483396087835314</v>
      </c>
      <c r="AS4" s="23">
        <f>(AR4-$AR$4)*100</f>
        <v>0</v>
      </c>
      <c r="AT4" s="23">
        <f>(POWER(AL4, -1) - 1)/-1</f>
        <v>0.99983774188622265</v>
      </c>
      <c r="AU4" s="23">
        <f>LOG(AL4)</f>
        <v>3.7897935769275124</v>
      </c>
      <c r="AW4">
        <f>SQRT(AN4)</f>
        <v>1.8557068717661109</v>
      </c>
      <c r="BA4">
        <f>SQRT(AQ4)</f>
        <v>1.9417027151592057</v>
      </c>
      <c r="BE4">
        <f>SQRT(AR4)</f>
        <v>1.8569705460193846</v>
      </c>
      <c r="BI4">
        <f>SQRT(AU4)</f>
        <v>1.9467392164662201</v>
      </c>
      <c r="BM4">
        <f>SQRT(CB4)</f>
        <v>1.8281872995438631</v>
      </c>
      <c r="BQ4">
        <f>SQRT(CD4)</f>
        <v>1.8425475507798714</v>
      </c>
      <c r="BU4">
        <f>SQRT(CE4)</f>
        <v>1.8318550379539378</v>
      </c>
      <c r="BY4">
        <f>SQRT(CG4)</f>
        <v>1.8547467199929024</v>
      </c>
      <c r="CB4" s="19">
        <f>(POWER(AK4, -0.26) - 1)/-0.26</f>
        <v>3.3422688022134821</v>
      </c>
      <c r="CC4" s="19">
        <f>(CB4-$CB$4)*100</f>
        <v>0</v>
      </c>
      <c r="CD4" s="19">
        <f>LOG(AK4)</f>
        <v>3.3949814768849031</v>
      </c>
      <c r="CE4" s="23">
        <f>(POWER(AM4, -0.26) - 1)/-0.26</f>
        <v>3.3556928800772226</v>
      </c>
      <c r="CF4" s="23">
        <f>(CE4-$CE$4)*100</f>
        <v>0</v>
      </c>
      <c r="CG4" s="23">
        <f>LOG(AM4)</f>
        <v>3.4400853953244304</v>
      </c>
      <c r="CH4">
        <f>SQRT(AP4)</f>
        <v>0.99991512515366399</v>
      </c>
      <c r="CI4">
        <f>SQRT(AT4)</f>
        <v>0.99991886765188243</v>
      </c>
    </row>
    <row r="5" spans="1:87" x14ac:dyDescent="0.2">
      <c r="A5" s="31">
        <v>2</v>
      </c>
      <c r="D5" s="6"/>
      <c r="F5" s="5"/>
      <c r="G5" s="6"/>
      <c r="H5" s="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>
        <f>Parameters!C16</f>
        <v>1.4401036406566694E-2</v>
      </c>
      <c r="V5" s="5">
        <f>(U5*$T$3)/(Parameters!B16*POWER(Parameters!$B$8,$C$3))</f>
        <v>8.680721761747881E-2</v>
      </c>
      <c r="W5" s="6">
        <f t="shared" si="0"/>
        <v>320966433.78767061</v>
      </c>
      <c r="X5" s="8">
        <v>3.4800777499171295E-3</v>
      </c>
      <c r="Y5" s="5">
        <f>(X5*$T$3)/(Parameters!B16*POWER(Parameters!$B$8,$C$3))</f>
        <v>2.0977369824928038E-2</v>
      </c>
      <c r="Z5" s="6">
        <f t="shared" ref="Z5:Z13" si="6">$T$3*X5</f>
        <v>77563038.739724964</v>
      </c>
      <c r="AA5" s="3"/>
      <c r="AB5" s="3"/>
      <c r="AC5" s="6">
        <f>Parameters!B16*POWER(Parameters!$B$8,$C$3)</f>
        <v>3697462522.0915198</v>
      </c>
      <c r="AD5" s="6">
        <f>$AD$3*Parameters!E16</f>
        <v>908123753.68683934</v>
      </c>
      <c r="AE5" s="6">
        <f t="shared" si="1"/>
        <v>4284619841.9906888</v>
      </c>
      <c r="AF5" s="6">
        <f t="shared" si="2"/>
        <v>3376496088.3038492</v>
      </c>
      <c r="AG5" s="6">
        <f t="shared" si="3"/>
        <v>4528023237.0386343</v>
      </c>
      <c r="AH5" s="6">
        <f t="shared" si="4"/>
        <v>3619899483.3517947</v>
      </c>
      <c r="AI5" s="8">
        <f t="shared" ref="AI5:AI13" si="7">($AA$3+$I$3)/10</f>
        <v>296054.13</v>
      </c>
      <c r="AJ5" s="6">
        <f t="shared" si="5"/>
        <v>14472.420438757901</v>
      </c>
      <c r="AK5" s="6">
        <f t="shared" ref="AK5:AK13" si="8">AF5/AI5</f>
        <v>11404.995729341283</v>
      </c>
      <c r="AL5" s="6">
        <f t="shared" ref="AL5:AL13" si="9">AG5/AI5</f>
        <v>15294.578856368713</v>
      </c>
      <c r="AM5" s="6">
        <f t="shared" ref="AM5:AM13" si="10">AH5/AI5</f>
        <v>12227.154146952094</v>
      </c>
      <c r="AN5" s="19">
        <f t="shared" ref="AN5:AN13" si="11">(POWER(AJ5, -0.26) - 1)/-0.26</f>
        <v>3.5275243714055806</v>
      </c>
      <c r="AO5" s="19">
        <f t="shared" ref="AO5:AO13" si="12">(AN5-$AN$4)*100</f>
        <v>8.3876377485615716</v>
      </c>
      <c r="AP5" s="19">
        <f t="shared" ref="AP5:AP13" si="13">(POWER(AJ5, -1) - 1)/-1</f>
        <v>0.99993090305769983</v>
      </c>
      <c r="AQ5" s="19">
        <f t="shared" ref="AQ5:AQ13" si="14">LOG(AJ5)</f>
        <v>4.160541170738175</v>
      </c>
      <c r="AR5" s="23">
        <f t="shared" ref="AR5:AR13" si="15">(POWER(AL5, -0.26) - 1)/-0.26</f>
        <v>3.5320690630446872</v>
      </c>
      <c r="AS5" s="23">
        <f>(AR5-$AR$4)*100</f>
        <v>8.3729454261155745</v>
      </c>
      <c r="AT5" s="23">
        <f t="shared" ref="AT5:AT13" si="16">(POWER(AL5, -1) - 1)/-1</f>
        <v>0.99993461735629396</v>
      </c>
      <c r="AU5" s="23">
        <f t="shared" ref="AU5:AU13" si="17">LOG(AL5)</f>
        <v>4.1845375229765809</v>
      </c>
      <c r="AW5">
        <f t="shared" ref="AW5:AW13" si="18">SQRT(AN5)</f>
        <v>1.8781704851811458</v>
      </c>
      <c r="BA5">
        <f t="shared" ref="BA5:BA13" si="19">SQRT(AQ5)</f>
        <v>2.0397404665148393</v>
      </c>
      <c r="BE5">
        <f t="shared" ref="BE5:BE13" si="20">SQRT(AR5)</f>
        <v>1.8793799677140031</v>
      </c>
      <c r="BI5">
        <f t="shared" ref="BI5:BI13" si="21">SQRT(AU5)</f>
        <v>2.0456142165561375</v>
      </c>
      <c r="BM5">
        <f t="shared" ref="BM5:BM13" si="22">SQRT(CB5)</f>
        <v>1.8727433683998858</v>
      </c>
      <c r="BQ5">
        <f t="shared" ref="BQ5:BQ13" si="23">SQRT(CD5)</f>
        <v>2.0142232068439978</v>
      </c>
      <c r="BU5">
        <f t="shared" ref="BU5:BU13" si="24">SQRT(CE5)</f>
        <v>1.8743658974426991</v>
      </c>
      <c r="BY5">
        <f t="shared" ref="BY5:BY13" si="25">SQRT(CG5)</f>
        <v>2.0217134780585835</v>
      </c>
      <c r="CB5" s="19">
        <f t="shared" ref="CB5:CB13" si="26">(POWER(AK5, -0.26) - 1)/-0.26</f>
        <v>3.5071677238857499</v>
      </c>
      <c r="CC5" s="19">
        <f t="shared" ref="CC5:CC13" si="27">(CB5-$CB$4)*100</f>
        <v>16.489892167226785</v>
      </c>
      <c r="CD5" s="19">
        <f t="shared" ref="CD5:CD13" si="28">LOG(AK5)</f>
        <v>4.0570951269889175</v>
      </c>
      <c r="CE5" s="23">
        <f t="shared" ref="CE5:CE13" si="29">(POWER(AM5, -0.26) - 1)/-0.26</f>
        <v>3.5132475174961746</v>
      </c>
      <c r="CF5" s="23">
        <f t="shared" ref="CF5:CF13" si="30">(CE5-$CE$4)*100</f>
        <v>15.755463741895204</v>
      </c>
      <c r="CG5" s="23">
        <f t="shared" ref="CG5:CG13" si="31">LOG(AM5)</f>
        <v>4.0873253873637339</v>
      </c>
      <c r="CH5">
        <f t="shared" ref="CH5:CH13" si="32">SQRT(AP5)</f>
        <v>0.99996545093203082</v>
      </c>
      <c r="CI5">
        <f t="shared" ref="CI5:CI13" si="33">SQRT(AT5)</f>
        <v>0.99996730814376822</v>
      </c>
    </row>
    <row r="6" spans="1:87" x14ac:dyDescent="0.2">
      <c r="A6" s="31" t="s">
        <v>112</v>
      </c>
      <c r="D6" s="6"/>
      <c r="F6" s="5"/>
      <c r="G6" s="6"/>
      <c r="H6" s="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>
        <f>Parameters!C17</f>
        <v>3.1399077404942015E-2</v>
      </c>
      <c r="V6" s="5">
        <f>(U6*$T$3)/(Parameters!B17*POWER(Parameters!$B$8,$C$3))</f>
        <v>9.0753000236455106E-2</v>
      </c>
      <c r="W6" s="6">
        <f t="shared" si="0"/>
        <v>699814208.80873537</v>
      </c>
      <c r="X6" s="8">
        <v>1.0886748490444263E-2</v>
      </c>
      <c r="Y6" s="5">
        <f>(X6*$T$3)/(Parameters!B17*POWER(Parameters!$B$8,$C$3))</f>
        <v>3.1466054737392057E-2</v>
      </c>
      <c r="Z6" s="6">
        <f t="shared" si="6"/>
        <v>242640928.04652953</v>
      </c>
      <c r="AA6" s="3"/>
      <c r="AB6" s="3"/>
      <c r="AC6" s="6">
        <f>Parameters!B17*POWER(Parameters!$B$8,$C$3)</f>
        <v>7711196401.0598392</v>
      </c>
      <c r="AD6" s="6">
        <f>$AD$3*Parameters!E17</f>
        <v>807221114.38830161</v>
      </c>
      <c r="AE6" s="6">
        <f t="shared" si="1"/>
        <v>7818603306.6394062</v>
      </c>
      <c r="AF6" s="6">
        <f t="shared" si="2"/>
        <v>7011382192.2511044</v>
      </c>
      <c r="AG6" s="6">
        <f t="shared" si="3"/>
        <v>8275776587.4016113</v>
      </c>
      <c r="AH6" s="6">
        <f t="shared" si="4"/>
        <v>7468555473.0133095</v>
      </c>
      <c r="AI6" s="8">
        <f t="shared" si="7"/>
        <v>296054.13</v>
      </c>
      <c r="AJ6" s="6">
        <f t="shared" si="5"/>
        <v>26409.370835797516</v>
      </c>
      <c r="AK6" s="6">
        <f t="shared" si="8"/>
        <v>23682.771094093856</v>
      </c>
      <c r="AL6" s="6">
        <f t="shared" si="9"/>
        <v>27953.592768327911</v>
      </c>
      <c r="AM6" s="6">
        <f t="shared" si="10"/>
        <v>25226.993026624252</v>
      </c>
      <c r="AN6" s="19">
        <f t="shared" si="11"/>
        <v>3.5736519316952546</v>
      </c>
      <c r="AO6" s="19">
        <f t="shared" si="12"/>
        <v>13.000393777528974</v>
      </c>
      <c r="AP6" s="19">
        <f t="shared" si="13"/>
        <v>0.99996213465264971</v>
      </c>
      <c r="AQ6" s="19">
        <f t="shared" si="14"/>
        <v>4.4217580549064275</v>
      </c>
      <c r="AR6" s="23">
        <f t="shared" si="15"/>
        <v>3.5776485433297753</v>
      </c>
      <c r="AS6" s="23">
        <f t="shared" ref="AS6:AS13" si="34">(AR6-$AR$4)*100</f>
        <v>12.930893454624393</v>
      </c>
      <c r="AT6" s="23">
        <f t="shared" si="16"/>
        <v>0.99996422642311888</v>
      </c>
      <c r="AU6" s="23">
        <f t="shared" si="17"/>
        <v>4.4464376340179461</v>
      </c>
      <c r="AW6">
        <f t="shared" si="18"/>
        <v>1.8904105193569081</v>
      </c>
      <c r="BA6">
        <f>SQRT(AQ6)</f>
        <v>2.1027976733167715</v>
      </c>
      <c r="BE6">
        <f t="shared" si="20"/>
        <v>1.8914672990379124</v>
      </c>
      <c r="BI6">
        <f t="shared" si="21"/>
        <v>2.1086577802047315</v>
      </c>
      <c r="BM6">
        <f t="shared" si="22"/>
        <v>1.8883381221803968</v>
      </c>
      <c r="BQ6">
        <f t="shared" si="23"/>
        <v>2.0915144076307906</v>
      </c>
      <c r="BU6">
        <f t="shared" si="24"/>
        <v>1.8895468427838769</v>
      </c>
      <c r="BY6">
        <f t="shared" si="25"/>
        <v>2.0980623172703194</v>
      </c>
      <c r="CB6" s="19">
        <f t="shared" si="26"/>
        <v>3.5658208636797872</v>
      </c>
      <c r="CC6" s="19">
        <f t="shared" si="27"/>
        <v>22.355206146630515</v>
      </c>
      <c r="CD6" s="19">
        <f t="shared" si="28"/>
        <v>4.3744325173271772</v>
      </c>
      <c r="CE6" s="23">
        <f t="shared" si="29"/>
        <v>3.5703872710745168</v>
      </c>
      <c r="CF6" s="23">
        <f t="shared" si="30"/>
        <v>21.469439099729428</v>
      </c>
      <c r="CG6" s="23">
        <f t="shared" si="31"/>
        <v>4.4018654871497027</v>
      </c>
      <c r="CH6">
        <f t="shared" si="32"/>
        <v>0.99998106714709845</v>
      </c>
      <c r="CI6">
        <f t="shared" si="33"/>
        <v>0.99998211305158802</v>
      </c>
    </row>
    <row r="7" spans="1:87" x14ac:dyDescent="0.2">
      <c r="A7" s="31" t="s">
        <v>113</v>
      </c>
      <c r="D7" s="6"/>
      <c r="F7" s="5"/>
      <c r="G7" s="6"/>
      <c r="H7" s="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>
        <f>Parameters!C18</f>
        <v>5.1692242898110294E-2</v>
      </c>
      <c r="V7" s="5">
        <f>(U7*$T$3)/(Parameters!B18*POWER(Parameters!$B$8,$C$3))</f>
        <v>9.4698782855431429E-2</v>
      </c>
      <c r="W7" s="6">
        <f t="shared" si="0"/>
        <v>1152102834.0659564</v>
      </c>
      <c r="X7" s="8">
        <v>2.2901398806974758E-2</v>
      </c>
      <c r="Y7" s="5">
        <f>(X7*$T$3)/(Parameters!B18*POWER(Parameters!$B$8,$C$3))</f>
        <v>4.195473964985607E-2</v>
      </c>
      <c r="Z7" s="6">
        <f t="shared" si="6"/>
        <v>510420229.23239946</v>
      </c>
      <c r="AA7" s="3"/>
      <c r="AB7" s="3"/>
      <c r="AC7" s="6">
        <f>Parameters!B18*POWER(Parameters!$B$8,$C$3)</f>
        <v>12165972986.419199</v>
      </c>
      <c r="AD7" s="6">
        <f>$AD$3*Parameters!E18</f>
        <v>706318475.08976388</v>
      </c>
      <c r="AE7" s="6">
        <f t="shared" si="1"/>
        <v>11720188627.443007</v>
      </c>
      <c r="AF7" s="6">
        <f t="shared" si="2"/>
        <v>11013870152.353243</v>
      </c>
      <c r="AG7" s="6">
        <f t="shared" si="3"/>
        <v>12361871232.276564</v>
      </c>
      <c r="AH7" s="6">
        <f t="shared" si="4"/>
        <v>11655552757.1868</v>
      </c>
      <c r="AI7" s="8">
        <f t="shared" si="7"/>
        <v>296054.13</v>
      </c>
      <c r="AJ7" s="6">
        <f t="shared" si="5"/>
        <v>39587.992329115645</v>
      </c>
      <c r="AK7" s="6">
        <f t="shared" si="8"/>
        <v>37202.217555124946</v>
      </c>
      <c r="AL7" s="6">
        <f t="shared" si="9"/>
        <v>41755.44260192068</v>
      </c>
      <c r="AM7" s="6">
        <f t="shared" si="10"/>
        <v>39369.667827929981</v>
      </c>
      <c r="AN7" s="19">
        <f t="shared" si="11"/>
        <v>3.6008749698425788</v>
      </c>
      <c r="AO7" s="19">
        <f t="shared" si="12"/>
        <v>15.722697592261392</v>
      </c>
      <c r="AP7" s="19">
        <f t="shared" si="13"/>
        <v>0.99997473981525287</v>
      </c>
      <c r="AQ7" s="19">
        <f t="shared" si="14"/>
        <v>4.5975634774406231</v>
      </c>
      <c r="AR7" s="23">
        <f t="shared" si="15"/>
        <v>3.6042508495696723</v>
      </c>
      <c r="AS7" s="23">
        <f t="shared" si="34"/>
        <v>15.591124078614094</v>
      </c>
      <c r="AT7" s="23">
        <f t="shared" si="16"/>
        <v>0.99997605102622111</v>
      </c>
      <c r="AU7" s="23">
        <f t="shared" si="17"/>
        <v>4.6207130915065013</v>
      </c>
      <c r="AW7">
        <f t="shared" si="18"/>
        <v>1.8975971568914669</v>
      </c>
      <c r="BA7">
        <f t="shared" si="19"/>
        <v>2.1441929664656172</v>
      </c>
      <c r="BE7">
        <f t="shared" si="20"/>
        <v>1.8984864628355063</v>
      </c>
      <c r="BI7">
        <f t="shared" si="21"/>
        <v>2.149584399716955</v>
      </c>
      <c r="BM7">
        <f t="shared" si="22"/>
        <v>1.8965439166837732</v>
      </c>
      <c r="BQ7">
        <f t="shared" si="23"/>
        <v>2.1378888717941602</v>
      </c>
      <c r="BU7">
        <f t="shared" si="24"/>
        <v>1.8975041614432133</v>
      </c>
      <c r="BY7">
        <f t="shared" si="25"/>
        <v>2.1436328394925326</v>
      </c>
      <c r="CB7" s="19">
        <f t="shared" si="26"/>
        <v>3.5968788279102268</v>
      </c>
      <c r="CC7" s="19">
        <f t="shared" si="27"/>
        <v>25.461002569674474</v>
      </c>
      <c r="CD7" s="19">
        <f t="shared" si="28"/>
        <v>4.5705688281413073</v>
      </c>
      <c r="CE7" s="23">
        <f t="shared" si="29"/>
        <v>3.6005220426943123</v>
      </c>
      <c r="CF7" s="23">
        <f t="shared" si="30"/>
        <v>24.482916261708976</v>
      </c>
      <c r="CG7" s="23">
        <f t="shared" si="31"/>
        <v>4.595161750550818</v>
      </c>
      <c r="CH7">
        <f t="shared" si="32"/>
        <v>0.99998736982786585</v>
      </c>
      <c r="CI7">
        <f t="shared" si="33"/>
        <v>0.99998802544141552</v>
      </c>
    </row>
    <row r="8" spans="1:87" x14ac:dyDescent="0.2">
      <c r="A8" s="31" t="s">
        <v>115</v>
      </c>
      <c r="D8" s="6"/>
      <c r="E8" s="5"/>
      <c r="F8" s="6"/>
      <c r="G8" s="6"/>
      <c r="H8" s="6"/>
      <c r="I8" s="8"/>
      <c r="J8" s="8"/>
      <c r="K8" s="6"/>
      <c r="L8" s="6"/>
      <c r="M8" s="6"/>
      <c r="N8" s="6"/>
      <c r="O8" s="6"/>
      <c r="P8" s="6"/>
      <c r="Q8" s="6"/>
      <c r="R8" s="6"/>
      <c r="S8" s="6"/>
      <c r="T8" s="6"/>
      <c r="U8" s="8">
        <f>Parameters!C19</f>
        <v>7.0583126136746943E-2</v>
      </c>
      <c r="V8" s="5">
        <f>(U8*$T$3)/(Parameters!B19*POWER(Parameters!$B$8,$C$3))</f>
        <v>9.8644565474407739E-2</v>
      </c>
      <c r="W8" s="6">
        <f t="shared" si="0"/>
        <v>1573137768.8460448</v>
      </c>
      <c r="X8" s="8">
        <v>3.7524833052111288E-2</v>
      </c>
      <c r="Y8" s="5">
        <f>(X8*$T$3)/(Parameters!B19*POWER(Parameters!$B$8,$C$3))</f>
        <v>5.2443424562320082E-2</v>
      </c>
      <c r="Z8" s="6">
        <f t="shared" si="6"/>
        <v>836343406.34829998</v>
      </c>
      <c r="AA8" s="3"/>
      <c r="AB8" s="3"/>
      <c r="AC8" s="6">
        <f>Parameters!B19*POWER(Parameters!$B$8,$C$3)</f>
        <v>15947536098.723839</v>
      </c>
      <c r="AD8" s="6">
        <f>$AD$3*Parameters!E19</f>
        <v>605415835.79122615</v>
      </c>
      <c r="AE8" s="6">
        <f t="shared" si="1"/>
        <v>14979814165.66902</v>
      </c>
      <c r="AF8" s="6">
        <f t="shared" si="2"/>
        <v>14374398329.877794</v>
      </c>
      <c r="AG8" s="6">
        <f t="shared" si="3"/>
        <v>15716608528.166763</v>
      </c>
      <c r="AH8" s="6">
        <f t="shared" si="4"/>
        <v>15111192692.375538</v>
      </c>
      <c r="AI8" s="8">
        <f t="shared" si="7"/>
        <v>296054.13</v>
      </c>
      <c r="AJ8" s="6">
        <f t="shared" si="5"/>
        <v>50598.227309543086</v>
      </c>
      <c r="AK8" s="6">
        <f t="shared" si="8"/>
        <v>48553.277503265344</v>
      </c>
      <c r="AL8" s="6">
        <f t="shared" si="9"/>
        <v>53086.942337763583</v>
      </c>
      <c r="AM8" s="6">
        <f t="shared" si="10"/>
        <v>51041.992531485841</v>
      </c>
      <c r="AN8" s="19">
        <f t="shared" si="11"/>
        <v>3.6160353784194004</v>
      </c>
      <c r="AO8" s="19">
        <f t="shared" si="12"/>
        <v>17.238738449943547</v>
      </c>
      <c r="AP8" s="19">
        <f t="shared" si="13"/>
        <v>0.99998023646176615</v>
      </c>
      <c r="AQ8" s="19">
        <f t="shared" si="14"/>
        <v>4.7041353017573986</v>
      </c>
      <c r="AR8" s="23">
        <f t="shared" si="15"/>
        <v>3.6188902644479968</v>
      </c>
      <c r="AS8" s="23">
        <f t="shared" si="34"/>
        <v>17.055065566446537</v>
      </c>
      <c r="AT8" s="23">
        <f t="shared" si="16"/>
        <v>0.99998116297613004</v>
      </c>
      <c r="AU8" s="23">
        <f t="shared" si="17"/>
        <v>4.7249877118908179</v>
      </c>
      <c r="AW8">
        <f t="shared" si="18"/>
        <v>1.9015875942010667</v>
      </c>
      <c r="BA8">
        <f t="shared" si="19"/>
        <v>2.1689018654050254</v>
      </c>
      <c r="BE8">
        <f t="shared" si="20"/>
        <v>1.9023381046617336</v>
      </c>
      <c r="BI8">
        <f t="shared" si="21"/>
        <v>2.1737036853929328</v>
      </c>
      <c r="BM8">
        <f t="shared" si="22"/>
        <v>1.9009349759592709</v>
      </c>
      <c r="BQ8">
        <f t="shared" si="23"/>
        <v>2.1647675513818312</v>
      </c>
      <c r="BU8">
        <f t="shared" si="24"/>
        <v>1.9017248056457694</v>
      </c>
      <c r="BY8">
        <f t="shared" si="25"/>
        <v>2.169775937658577</v>
      </c>
      <c r="CB8" s="19">
        <f t="shared" si="26"/>
        <v>3.613553782825274</v>
      </c>
      <c r="CC8" s="19">
        <f t="shared" si="27"/>
        <v>27.128498061179187</v>
      </c>
      <c r="CD8" s="19">
        <f t="shared" si="28"/>
        <v>4.6862185515156893</v>
      </c>
      <c r="CE8" s="23">
        <f t="shared" si="29"/>
        <v>3.6165572364084397</v>
      </c>
      <c r="CF8" s="23">
        <f t="shared" si="30"/>
        <v>26.086435633121717</v>
      </c>
      <c r="CG8" s="23">
        <f t="shared" si="31"/>
        <v>4.7079276196421578</v>
      </c>
      <c r="CH8">
        <f t="shared" si="32"/>
        <v>0.99999011818205796</v>
      </c>
      <c r="CI8">
        <f t="shared" si="33"/>
        <v>0.99999058144371045</v>
      </c>
    </row>
    <row r="9" spans="1:87" x14ac:dyDescent="0.2">
      <c r="A9" s="31" t="s">
        <v>117</v>
      </c>
      <c r="N9" s="8"/>
      <c r="O9" s="8"/>
      <c r="P9" s="8"/>
      <c r="Q9" s="8"/>
      <c r="R9" s="8"/>
      <c r="S9" s="8"/>
      <c r="T9" s="8"/>
      <c r="U9" s="8">
        <f>Parameters!C20</f>
        <v>9.0905110853151228E-2</v>
      </c>
      <c r="V9" s="5">
        <f>(U9*$T$3)/(Parameters!B20*POWER(Parameters!$B$8,$C$3))</f>
        <v>0.10653613071236036</v>
      </c>
      <c r="W9" s="6">
        <f t="shared" si="0"/>
        <v>2026068709.2148621</v>
      </c>
      <c r="X9" s="8">
        <v>5.3698687476024153E-2</v>
      </c>
      <c r="Y9" s="5">
        <f>(X9*$T$3)/(Parameters!B20*POWER(Parameters!$B$8,$C$3))</f>
        <v>6.2932109474784101E-2</v>
      </c>
      <c r="Z9" s="6">
        <f t="shared" si="6"/>
        <v>1196821932.2325273</v>
      </c>
      <c r="AA9" s="3"/>
      <c r="AB9" s="3"/>
      <c r="AC9" s="6">
        <f>Parameters!B20*POWER(Parameters!$B$8,$C$3)</f>
        <v>19017667486.771198</v>
      </c>
      <c r="AD9" s="6">
        <f>$AD$3*Parameters!E20</f>
        <v>504513196.49268854</v>
      </c>
      <c r="AE9" s="6">
        <f t="shared" si="1"/>
        <v>17496111974.049023</v>
      </c>
      <c r="AF9" s="6">
        <f t="shared" si="2"/>
        <v>16991598777.556335</v>
      </c>
      <c r="AG9" s="6">
        <f t="shared" si="3"/>
        <v>18325358751.031357</v>
      </c>
      <c r="AH9" s="6">
        <f t="shared" si="4"/>
        <v>17820845554.53867</v>
      </c>
      <c r="AI9" s="8">
        <f t="shared" si="7"/>
        <v>296054.13</v>
      </c>
      <c r="AJ9" s="6">
        <f t="shared" si="5"/>
        <v>59097.679110401274</v>
      </c>
      <c r="AK9" s="6">
        <f t="shared" si="8"/>
        <v>57393.554271836489</v>
      </c>
      <c r="AL9" s="6">
        <f t="shared" si="9"/>
        <v>61898.67626920576</v>
      </c>
      <c r="AM9" s="6">
        <f t="shared" si="10"/>
        <v>60194.551430640975</v>
      </c>
      <c r="AN9" s="19">
        <f t="shared" si="11"/>
        <v>3.6251405806523107</v>
      </c>
      <c r="AO9" s="19">
        <f t="shared" si="12"/>
        <v>18.149258673234581</v>
      </c>
      <c r="AP9" s="19">
        <f t="shared" si="13"/>
        <v>0.99998307886172433</v>
      </c>
      <c r="AQ9" s="19">
        <f t="shared" si="14"/>
        <v>4.771570425562512</v>
      </c>
      <c r="AR9" s="23">
        <f t="shared" si="15"/>
        <v>3.6277855939689632</v>
      </c>
      <c r="AS9" s="23">
        <f t="shared" si="34"/>
        <v>17.944598518543174</v>
      </c>
      <c r="AT9" s="23">
        <f t="shared" si="16"/>
        <v>0.99998384456566325</v>
      </c>
      <c r="AU9" s="23">
        <f t="shared" si="17"/>
        <v>4.7916813615382674</v>
      </c>
      <c r="AW9">
        <f t="shared" si="18"/>
        <v>1.9039801943960213</v>
      </c>
      <c r="BA9">
        <f t="shared" si="19"/>
        <v>2.1843924614323571</v>
      </c>
      <c r="BE9">
        <f t="shared" si="20"/>
        <v>1.9046746688001506</v>
      </c>
      <c r="BI9">
        <f t="shared" si="21"/>
        <v>2.1889909459699157</v>
      </c>
      <c r="BM9">
        <f t="shared" si="22"/>
        <v>1.9035369206973234</v>
      </c>
      <c r="BQ9">
        <f t="shared" si="23"/>
        <v>2.1814818634582451</v>
      </c>
      <c r="BU9">
        <f t="shared" si="24"/>
        <v>1.9042570262010752</v>
      </c>
      <c r="BY9">
        <f t="shared" si="25"/>
        <v>2.1862198385437503</v>
      </c>
      <c r="CB9" s="19">
        <f t="shared" si="26"/>
        <v>3.6234528084578477</v>
      </c>
      <c r="CC9" s="19">
        <f t="shared" si="27"/>
        <v>28.118400624436557</v>
      </c>
      <c r="CD9" s="19">
        <f t="shared" si="28"/>
        <v>4.7588631205972574</v>
      </c>
      <c r="CE9" s="23">
        <f t="shared" si="29"/>
        <v>3.6261948218361622</v>
      </c>
      <c r="CF9" s="23">
        <f t="shared" si="30"/>
        <v>27.05019417589396</v>
      </c>
      <c r="CG9" s="23">
        <f t="shared" si="31"/>
        <v>4.7795571824422609</v>
      </c>
      <c r="CH9">
        <f t="shared" si="32"/>
        <v>0.99999153939507124</v>
      </c>
      <c r="CI9">
        <f t="shared" si="33"/>
        <v>0.99999192225020661</v>
      </c>
    </row>
    <row r="10" spans="1:87" x14ac:dyDescent="0.2">
      <c r="A10" s="31" t="s">
        <v>119</v>
      </c>
      <c r="U10" s="8">
        <f>Parameters!C21</f>
        <v>0.11035602414482847</v>
      </c>
      <c r="V10" s="5">
        <f>(U10*$T$3)/(Parameters!B21*POWER(Parameters!$B$8,$C$3))</f>
        <v>0.11048191333133668</v>
      </c>
      <c r="W10" s="6">
        <f t="shared" si="0"/>
        <v>2459585443.4893532</v>
      </c>
      <c r="X10" s="8">
        <v>8.3813868210341438E-2</v>
      </c>
      <c r="Y10" s="5">
        <f>(X10*$T$3)/(Parameters!B21*POWER(Parameters!$B$8,$C$3))</f>
        <v>8.3909479299712139E-2</v>
      </c>
      <c r="Z10" s="6">
        <f t="shared" si="6"/>
        <v>1868020996.6802378</v>
      </c>
      <c r="AC10" s="6">
        <f>Parameters!B21*POWER(Parameters!$B$8,$C$3)</f>
        <v>22262335701.16608</v>
      </c>
      <c r="AD10" s="6">
        <f>$AD$3*Parameters!E21</f>
        <v>403610557.19415081</v>
      </c>
      <c r="AE10" s="6">
        <f t="shared" si="1"/>
        <v>20206360814.870876</v>
      </c>
      <c r="AF10" s="6">
        <f t="shared" si="2"/>
        <v>19802750257.676727</v>
      </c>
      <c r="AG10" s="6">
        <f t="shared" si="3"/>
        <v>20797925261.679993</v>
      </c>
      <c r="AH10" s="6">
        <f t="shared" si="4"/>
        <v>20394314704.485844</v>
      </c>
      <c r="AI10" s="8">
        <f t="shared" si="7"/>
        <v>296054.13</v>
      </c>
      <c r="AJ10" s="6">
        <f t="shared" si="5"/>
        <v>68252.251082837029</v>
      </c>
      <c r="AK10" s="6">
        <f t="shared" si="8"/>
        <v>66888.951211985215</v>
      </c>
      <c r="AL10" s="6">
        <f t="shared" si="9"/>
        <v>70250.414212022617</v>
      </c>
      <c r="AM10" s="6">
        <f t="shared" si="10"/>
        <v>68887.114341170804</v>
      </c>
      <c r="AN10" s="19">
        <f t="shared" si="11"/>
        <v>3.6332633680541906</v>
      </c>
      <c r="AO10" s="19">
        <f t="shared" si="12"/>
        <v>18.961537413422569</v>
      </c>
      <c r="AP10" s="19">
        <f t="shared" si="13"/>
        <v>0.99998534846859799</v>
      </c>
      <c r="AQ10" s="19">
        <f t="shared" si="14"/>
        <v>4.8341169797674777</v>
      </c>
      <c r="AR10" s="23">
        <f t="shared" si="15"/>
        <v>3.6348546033178111</v>
      </c>
      <c r="AS10" s="23">
        <f t="shared" si="34"/>
        <v>18.651499453427967</v>
      </c>
      <c r="AT10" s="23">
        <f t="shared" si="16"/>
        <v>0.99998576520848714</v>
      </c>
      <c r="AU10" s="23">
        <f t="shared" si="17"/>
        <v>4.8466488892812514</v>
      </c>
      <c r="AW10">
        <f t="shared" si="18"/>
        <v>1.9061121079449106</v>
      </c>
      <c r="BA10">
        <f t="shared" si="19"/>
        <v>2.1986625434039389</v>
      </c>
      <c r="BE10">
        <f t="shared" si="20"/>
        <v>1.9065294656306289</v>
      </c>
      <c r="BI10">
        <f t="shared" si="21"/>
        <v>2.2015105925889276</v>
      </c>
      <c r="BM10">
        <f t="shared" si="22"/>
        <v>1.9058183615171966</v>
      </c>
      <c r="BQ10">
        <f t="shared" si="23"/>
        <v>2.1966689296450959</v>
      </c>
      <c r="BU10">
        <f t="shared" si="24"/>
        <v>1.9062463734294632</v>
      </c>
      <c r="BY10">
        <f t="shared" si="25"/>
        <v>2.1995767758090392</v>
      </c>
      <c r="CB10" s="19">
        <f t="shared" si="26"/>
        <v>3.6321436270960921</v>
      </c>
      <c r="CC10" s="19">
        <f t="shared" si="27"/>
        <v>28.987482488260994</v>
      </c>
      <c r="CD10" s="19">
        <f t="shared" si="28"/>
        <v>4.8253543864681312</v>
      </c>
      <c r="CE10" s="23">
        <f t="shared" si="29"/>
        <v>3.6337752362129803</v>
      </c>
      <c r="CF10" s="23">
        <f t="shared" si="30"/>
        <v>27.808235613575771</v>
      </c>
      <c r="CG10" s="23">
        <f t="shared" si="31"/>
        <v>4.8381379926784884</v>
      </c>
      <c r="CH10">
        <f t="shared" si="32"/>
        <v>0.9999926742074654</v>
      </c>
      <c r="CI10">
        <f t="shared" si="33"/>
        <v>0.99999288257891472</v>
      </c>
    </row>
    <row r="11" spans="1:87" x14ac:dyDescent="0.2">
      <c r="A11" s="31" t="s">
        <v>121</v>
      </c>
      <c r="U11" s="8">
        <f>Parameters!C22</f>
        <v>0.13623161609900061</v>
      </c>
      <c r="V11" s="5">
        <f>(U11*$T$3)/(Parameters!B22*POWER(Parameters!$B$8,$C$3))</f>
        <v>0.11442769595031298</v>
      </c>
      <c r="W11" s="6">
        <f t="shared" si="0"/>
        <v>3036293691.2296696</v>
      </c>
      <c r="X11" s="8">
        <v>0.13736006243615159</v>
      </c>
      <c r="Y11" s="5">
        <f>(X11*$T$3)/(Parameters!B22*POWER(Parameters!$B$8,$C$3))</f>
        <v>0.1153755340371042</v>
      </c>
      <c r="Z11" s="6">
        <f t="shared" si="6"/>
        <v>3061444200.2854586</v>
      </c>
      <c r="AC11" s="6">
        <f>Parameters!B22*POWER(Parameters!$B$8,$C$3)</f>
        <v>26534604808.857597</v>
      </c>
      <c r="AD11" s="6">
        <f>$AD$3*Parameters!E22</f>
        <v>302707917.89561307</v>
      </c>
      <c r="AE11" s="6">
        <f t="shared" si="1"/>
        <v>23801019035.523544</v>
      </c>
      <c r="AF11" s="6">
        <f t="shared" si="2"/>
        <v>23498311117.62793</v>
      </c>
      <c r="AG11" s="6">
        <f t="shared" si="3"/>
        <v>23775868526.467754</v>
      </c>
      <c r="AH11" s="6">
        <f t="shared" si="4"/>
        <v>23473160608.57214</v>
      </c>
      <c r="AI11" s="8">
        <f t="shared" si="7"/>
        <v>296054.13</v>
      </c>
      <c r="AJ11" s="6">
        <f t="shared" si="5"/>
        <v>80394.146285084906</v>
      </c>
      <c r="AK11" s="6">
        <f t="shared" si="8"/>
        <v>79371.671381946027</v>
      </c>
      <c r="AL11" s="6">
        <f t="shared" si="9"/>
        <v>80309.19388446887</v>
      </c>
      <c r="AM11" s="6">
        <f t="shared" si="10"/>
        <v>79286.718981330006</v>
      </c>
      <c r="AN11" s="19">
        <f t="shared" si="11"/>
        <v>3.6421359330711081</v>
      </c>
      <c r="AO11" s="19">
        <f t="shared" si="12"/>
        <v>19.848793915114314</v>
      </c>
      <c r="AP11" s="19">
        <f t="shared" si="13"/>
        <v>0.99998756128342414</v>
      </c>
      <c r="AQ11" s="19">
        <f t="shared" si="14"/>
        <v>4.9052244277454964</v>
      </c>
      <c r="AR11" s="23">
        <f t="shared" si="15"/>
        <v>3.6420798434986636</v>
      </c>
      <c r="AS11" s="23">
        <f t="shared" si="34"/>
        <v>19.374023471513226</v>
      </c>
      <c r="AT11" s="23">
        <f t="shared" si="16"/>
        <v>0.99998754812554291</v>
      </c>
      <c r="AU11" s="23">
        <f t="shared" si="17"/>
        <v>4.9047652666327313</v>
      </c>
      <c r="AW11">
        <f t="shared" si="18"/>
        <v>1.9084380873036222</v>
      </c>
      <c r="BA11">
        <f t="shared" si="19"/>
        <v>2.2147741256718474</v>
      </c>
      <c r="BE11">
        <f t="shared" si="20"/>
        <v>1.9084233920958587</v>
      </c>
      <c r="BI11">
        <f t="shared" si="21"/>
        <v>2.2146704645686524</v>
      </c>
      <c r="BM11">
        <f t="shared" si="22"/>
        <v>1.9082598980837844</v>
      </c>
      <c r="BQ11">
        <f t="shared" si="23"/>
        <v>2.2135188107691741</v>
      </c>
      <c r="BU11">
        <f t="shared" si="24"/>
        <v>1.9082449624294362</v>
      </c>
      <c r="BY11">
        <f t="shared" si="25"/>
        <v>2.2134137539968122</v>
      </c>
      <c r="CB11" s="19">
        <f t="shared" si="26"/>
        <v>3.6414558386347351</v>
      </c>
      <c r="CC11" s="19">
        <f t="shared" si="27"/>
        <v>29.918703642125301</v>
      </c>
      <c r="CD11" s="19">
        <f t="shared" si="28"/>
        <v>4.8996655256289783</v>
      </c>
      <c r="CE11" s="23">
        <f t="shared" si="29"/>
        <v>3.64139883663732</v>
      </c>
      <c r="CF11" s="23">
        <f t="shared" si="30"/>
        <v>28.570595656009743</v>
      </c>
      <c r="CG11" s="23">
        <f t="shared" si="31"/>
        <v>4.8992004463822596</v>
      </c>
      <c r="CH11">
        <f t="shared" si="32"/>
        <v>0.99999378062237176</v>
      </c>
      <c r="CI11">
        <f t="shared" si="33"/>
        <v>0.99999377404339018</v>
      </c>
    </row>
    <row r="12" spans="1:87" x14ac:dyDescent="0.2">
      <c r="A12" s="31" t="s">
        <v>122</v>
      </c>
      <c r="U12" s="8">
        <f>Parameters!C23</f>
        <v>0.17539672338276532</v>
      </c>
      <c r="V12" s="5">
        <f>(U12*$T$3)/(Parameters!B23*POWER(Parameters!$B$8,$C$3))</f>
        <v>0.11837347856928927</v>
      </c>
      <c r="W12" s="6">
        <f t="shared" si="0"/>
        <v>3909195089.3574739</v>
      </c>
      <c r="X12" s="8">
        <v>0.21757858127224192</v>
      </c>
      <c r="Y12" s="5">
        <f>(X12*$T$3)/(Parameters!B23*POWER(Parameters!$B$8,$C$3))</f>
        <v>0.14684158877449624</v>
      </c>
      <c r="Z12" s="6">
        <f t="shared" si="6"/>
        <v>4849333015.2049513</v>
      </c>
      <c r="AC12" s="6">
        <f>Parameters!B23*POWER(Parameters!$B$8,$C$3)</f>
        <v>33024247801.159679</v>
      </c>
      <c r="AD12" s="6">
        <f>$AD$3*Parameters!E23</f>
        <v>201805278.5970754</v>
      </c>
      <c r="AE12" s="6">
        <f t="shared" si="1"/>
        <v>29316857990.399281</v>
      </c>
      <c r="AF12" s="6">
        <f t="shared" si="2"/>
        <v>29115052711.802204</v>
      </c>
      <c r="AG12" s="6">
        <f t="shared" si="3"/>
        <v>28376720064.551804</v>
      </c>
      <c r="AH12" s="6">
        <f t="shared" si="4"/>
        <v>28174914785.954727</v>
      </c>
      <c r="AI12" s="8">
        <f t="shared" si="7"/>
        <v>296054.13</v>
      </c>
      <c r="AJ12" s="6">
        <f t="shared" si="5"/>
        <v>99025.330234032808</v>
      </c>
      <c r="AK12" s="6">
        <f t="shared" si="8"/>
        <v>98343.680298606894</v>
      </c>
      <c r="AL12" s="6">
        <f t="shared" si="9"/>
        <v>95849.769312631455</v>
      </c>
      <c r="AM12" s="6">
        <f t="shared" si="10"/>
        <v>95168.119377205541</v>
      </c>
      <c r="AN12" s="19">
        <f t="shared" si="11"/>
        <v>3.6528980117375638</v>
      </c>
      <c r="AO12" s="19">
        <f t="shared" si="12"/>
        <v>20.925001781759889</v>
      </c>
      <c r="AP12" s="19">
        <f t="shared" si="13"/>
        <v>0.99998990157369194</v>
      </c>
      <c r="AQ12" s="19">
        <f t="shared" si="14"/>
        <v>4.9957462993831117</v>
      </c>
      <c r="AR12" s="23">
        <f t="shared" si="15"/>
        <v>3.6512533371545177</v>
      </c>
      <c r="AS12" s="23">
        <f t="shared" si="34"/>
        <v>20.291372837098631</v>
      </c>
      <c r="AT12" s="23">
        <f t="shared" si="16"/>
        <v>0.99998956700671093</v>
      </c>
      <c r="AU12" s="23">
        <f t="shared" si="17"/>
        <v>4.9815910719728524</v>
      </c>
      <c r="AW12">
        <f t="shared" si="18"/>
        <v>1.9112556113030941</v>
      </c>
      <c r="BA12">
        <f t="shared" si="19"/>
        <v>2.2351166187434406</v>
      </c>
      <c r="BE12">
        <f t="shared" si="20"/>
        <v>1.910825302625679</v>
      </c>
      <c r="BI12">
        <f t="shared" si="21"/>
        <v>2.2319478201725174</v>
      </c>
      <c r="BM12">
        <f t="shared" si="22"/>
        <v>1.9111647305927562</v>
      </c>
      <c r="BQ12">
        <f t="shared" si="23"/>
        <v>2.2344454472610966</v>
      </c>
      <c r="BU12">
        <f t="shared" si="24"/>
        <v>1.9107305768191183</v>
      </c>
      <c r="BY12">
        <f t="shared" si="25"/>
        <v>2.2312533444854483</v>
      </c>
      <c r="CB12" s="19">
        <f t="shared" si="26"/>
        <v>3.6525506274616824</v>
      </c>
      <c r="CC12" s="19">
        <f t="shared" si="27"/>
        <v>31.028182524820025</v>
      </c>
      <c r="CD12" s="19">
        <f t="shared" si="28"/>
        <v>4.9927464567858415</v>
      </c>
      <c r="CE12" s="23">
        <f t="shared" si="29"/>
        <v>3.6508913371915201</v>
      </c>
      <c r="CF12" s="23">
        <f t="shared" si="30"/>
        <v>29.51984571142976</v>
      </c>
      <c r="CG12" s="23">
        <f t="shared" si="31"/>
        <v>4.9784914872774992</v>
      </c>
      <c r="CH12">
        <f t="shared" si="32"/>
        <v>0.99999495077409861</v>
      </c>
      <c r="CI12">
        <f t="shared" si="33"/>
        <v>0.99999478348974946</v>
      </c>
    </row>
    <row r="13" spans="1:87" x14ac:dyDescent="0.2">
      <c r="A13" s="31" t="s">
        <v>123</v>
      </c>
      <c r="U13" s="8">
        <f>Parameters!C24</f>
        <v>0.31542540330404345</v>
      </c>
      <c r="V13" s="5">
        <f>(U13*$T$3)/(Parameters!B24*POWER(Parameters!$B$8,$C$3))</f>
        <v>0.1223192611882656</v>
      </c>
      <c r="W13" s="6">
        <f t="shared" si="0"/>
        <v>7030116719.8196878</v>
      </c>
      <c r="X13" s="8">
        <v>0.43275574250579357</v>
      </c>
      <c r="Y13" s="5">
        <f>(X13*$T$3)/(Parameters!B24*POWER(Parameters!$B$8,$C$3))</f>
        <v>0.16781895859942431</v>
      </c>
      <c r="Z13" s="6">
        <f t="shared" si="6"/>
        <v>9645143825.1960335</v>
      </c>
      <c r="AC13" s="6">
        <f>Parameters!B24*POWER(Parameters!$B$8,$C$3)</f>
        <v>57473505411.379196</v>
      </c>
      <c r="AD13" s="6">
        <f>$AD$3*Parameters!E24</f>
        <v>100902639.2985377</v>
      </c>
      <c r="AE13" s="6">
        <f t="shared" si="1"/>
        <v>50544291330.858047</v>
      </c>
      <c r="AF13" s="6">
        <f t="shared" si="2"/>
        <v>50443388691.559509</v>
      </c>
      <c r="AG13" s="6">
        <f t="shared" si="3"/>
        <v>47929264225.481705</v>
      </c>
      <c r="AH13" s="6">
        <f t="shared" si="4"/>
        <v>47828361586.183167</v>
      </c>
      <c r="AI13" s="8">
        <f t="shared" si="7"/>
        <v>296054.13</v>
      </c>
      <c r="AJ13" s="6">
        <f t="shared" si="5"/>
        <v>170726.519947072</v>
      </c>
      <c r="AK13" s="6">
        <f t="shared" si="8"/>
        <v>170385.69497935905</v>
      </c>
      <c r="AL13" s="6">
        <f t="shared" si="9"/>
        <v>161893.58420867732</v>
      </c>
      <c r="AM13" s="6">
        <f t="shared" si="10"/>
        <v>161552.75924096437</v>
      </c>
      <c r="AN13" s="19">
        <f t="shared" si="11"/>
        <v>3.6784170300546104</v>
      </c>
      <c r="AO13" s="19">
        <f t="shared" si="12"/>
        <v>23.47690361346455</v>
      </c>
      <c r="AP13" s="19">
        <f t="shared" si="13"/>
        <v>0.99999414267917885</v>
      </c>
      <c r="AQ13" s="19">
        <f t="shared" si="14"/>
        <v>5.2323009878522244</v>
      </c>
      <c r="AR13" s="23">
        <f t="shared" si="15"/>
        <v>3.6760841459624007</v>
      </c>
      <c r="AS13" s="23">
        <f t="shared" si="34"/>
        <v>22.774453717886935</v>
      </c>
      <c r="AT13" s="23">
        <f t="shared" si="16"/>
        <v>0.99999382310296681</v>
      </c>
      <c r="AU13" s="23">
        <f t="shared" si="17"/>
        <v>5.2092296381420171</v>
      </c>
      <c r="AW13">
        <f t="shared" si="18"/>
        <v>1.9179199748828444</v>
      </c>
      <c r="BA13">
        <f t="shared" si="19"/>
        <v>2.2874223457534519</v>
      </c>
      <c r="BE13">
        <f t="shared" si="20"/>
        <v>1.9173116976544009</v>
      </c>
      <c r="BI13">
        <f t="shared" si="21"/>
        <v>2.2823736850353882</v>
      </c>
      <c r="BM13">
        <f t="shared" si="22"/>
        <v>1.9178972489909898</v>
      </c>
      <c r="BQ13">
        <f t="shared" si="23"/>
        <v>2.2872326357477877</v>
      </c>
      <c r="BU13">
        <f t="shared" si="24"/>
        <v>1.9172873891280569</v>
      </c>
      <c r="BY13">
        <f t="shared" si="25"/>
        <v>2.2821731704564532</v>
      </c>
      <c r="CB13" s="19">
        <f t="shared" si="26"/>
        <v>3.6783298576872063</v>
      </c>
      <c r="CC13" s="19">
        <f t="shared" si="27"/>
        <v>33.606105547372422</v>
      </c>
      <c r="CD13" s="19">
        <f t="shared" si="28"/>
        <v>5.2314331300297718</v>
      </c>
      <c r="CE13" s="23">
        <f t="shared" si="29"/>
        <v>3.6759909325094808</v>
      </c>
      <c r="CF13" s="23">
        <f t="shared" si="30"/>
        <v>32.02980524322583</v>
      </c>
      <c r="CG13" s="23">
        <f t="shared" si="31"/>
        <v>5.2083143799512586</v>
      </c>
      <c r="CH13">
        <f t="shared" si="32"/>
        <v>0.99999707133530091</v>
      </c>
      <c r="CI13">
        <f t="shared" si="33"/>
        <v>0.99999691154671411</v>
      </c>
    </row>
    <row r="14" spans="1:87" x14ac:dyDescent="0.2">
      <c r="I14" s="24"/>
      <c r="U14" s="29"/>
      <c r="W14" s="6"/>
    </row>
    <row r="15" spans="1:87" x14ac:dyDescent="0.2">
      <c r="A15" s="2" t="s">
        <v>90</v>
      </c>
      <c r="B15" s="51" t="s">
        <v>39</v>
      </c>
      <c r="C15" s="51"/>
      <c r="D15" s="51" t="s">
        <v>47</v>
      </c>
      <c r="E15" s="51"/>
      <c r="F15" s="51"/>
      <c r="G15" s="51"/>
      <c r="H15" s="52"/>
      <c r="I15" s="51"/>
      <c r="J15" s="51"/>
      <c r="K15" s="51"/>
      <c r="L15" s="51"/>
      <c r="M15" s="51"/>
      <c r="N15" s="51"/>
      <c r="O15" s="15"/>
      <c r="P15" s="15"/>
      <c r="Q15" s="15"/>
      <c r="R15" s="15"/>
      <c r="S15" s="15"/>
      <c r="T15" s="15"/>
      <c r="U15" s="51" t="s">
        <v>157</v>
      </c>
      <c r="V15" s="51"/>
      <c r="W15" s="51"/>
      <c r="X15" s="51" t="s">
        <v>159</v>
      </c>
      <c r="Y15" s="51"/>
      <c r="Z15" s="51"/>
      <c r="AA15" s="51" t="s">
        <v>91</v>
      </c>
      <c r="AB15" s="51"/>
      <c r="AC15" s="51" t="s">
        <v>48</v>
      </c>
      <c r="AD15" s="51"/>
      <c r="AE15" s="51" t="s">
        <v>137</v>
      </c>
      <c r="AF15" s="51"/>
      <c r="AG15" s="51" t="s">
        <v>87</v>
      </c>
      <c r="AH15" s="51"/>
      <c r="AI15" s="2" t="s">
        <v>104</v>
      </c>
      <c r="AJ15" s="51" t="s">
        <v>162</v>
      </c>
      <c r="AK15" s="51"/>
      <c r="AL15" s="51" t="s">
        <v>93</v>
      </c>
      <c r="AM15" s="51"/>
      <c r="AN15" s="51" t="s">
        <v>164</v>
      </c>
      <c r="AO15" s="51"/>
      <c r="AP15" s="51"/>
      <c r="AQ15" s="51"/>
      <c r="AR15" s="51" t="s">
        <v>165</v>
      </c>
      <c r="AS15" s="51"/>
      <c r="AT15" s="51"/>
      <c r="AU15" s="51"/>
      <c r="AV15" s="51" t="s">
        <v>166</v>
      </c>
      <c r="AW15" s="51"/>
      <c r="AX15" s="51"/>
      <c r="AY15" s="51"/>
      <c r="AZ15" s="51" t="s">
        <v>167</v>
      </c>
      <c r="BA15" s="51"/>
      <c r="BB15" s="51"/>
      <c r="BC15" s="51"/>
      <c r="BD15" s="51" t="s">
        <v>168</v>
      </c>
      <c r="BE15" s="51"/>
      <c r="BF15" s="51"/>
      <c r="BG15" s="51"/>
      <c r="BH15" s="51" t="s">
        <v>169</v>
      </c>
      <c r="BI15" s="51"/>
      <c r="BJ15" s="51"/>
      <c r="BK15" s="51"/>
      <c r="BL15" s="51" t="s">
        <v>172</v>
      </c>
      <c r="BM15" s="51"/>
      <c r="BN15" s="51"/>
      <c r="BO15" s="51"/>
      <c r="BP15" s="51" t="s">
        <v>170</v>
      </c>
      <c r="BQ15" s="51"/>
      <c r="BR15" s="51"/>
      <c r="BS15" s="51"/>
      <c r="BT15" s="51" t="s">
        <v>173</v>
      </c>
      <c r="BU15" s="51"/>
      <c r="BV15" s="51"/>
      <c r="BW15" s="51"/>
      <c r="BX15" s="51" t="s">
        <v>174</v>
      </c>
      <c r="BY15" s="51"/>
      <c r="BZ15" s="51"/>
      <c r="CA15" s="51"/>
      <c r="CB15" s="51" t="s">
        <v>175</v>
      </c>
      <c r="CC15" s="51"/>
      <c r="CD15" s="51"/>
      <c r="CE15" s="51" t="s">
        <v>176</v>
      </c>
      <c r="CF15" s="51"/>
      <c r="CG15" s="51"/>
    </row>
    <row r="16" spans="1:87" x14ac:dyDescent="0.2">
      <c r="A16" s="9"/>
      <c r="B16" s="9" t="s">
        <v>39</v>
      </c>
      <c r="C16" s="9" t="s">
        <v>52</v>
      </c>
      <c r="D16" s="9" t="s">
        <v>53</v>
      </c>
      <c r="E16" s="9" t="s">
        <v>54</v>
      </c>
      <c r="F16" s="9" t="s">
        <v>55</v>
      </c>
      <c r="G16" s="9" t="s">
        <v>56</v>
      </c>
      <c r="H16" s="9" t="s">
        <v>57</v>
      </c>
      <c r="I16" s="9" t="s">
        <v>94</v>
      </c>
      <c r="J16" s="9" t="s">
        <v>59</v>
      </c>
      <c r="K16" s="9" t="s">
        <v>60</v>
      </c>
      <c r="L16" s="9" t="s">
        <v>61</v>
      </c>
      <c r="M16" s="9" t="s">
        <v>62</v>
      </c>
      <c r="N16" s="9" t="s">
        <v>95</v>
      </c>
      <c r="O16" s="9" t="s">
        <v>58</v>
      </c>
      <c r="P16" s="9" t="s">
        <v>59</v>
      </c>
      <c r="Q16" s="9" t="s">
        <v>60</v>
      </c>
      <c r="R16" s="9" t="s">
        <v>61</v>
      </c>
      <c r="S16" s="9" t="s">
        <v>62</v>
      </c>
      <c r="T16" s="11" t="s">
        <v>63</v>
      </c>
      <c r="U16" s="9" t="s">
        <v>64</v>
      </c>
      <c r="V16" s="9" t="s">
        <v>158</v>
      </c>
      <c r="W16" s="9" t="s">
        <v>66</v>
      </c>
      <c r="X16" s="9" t="s">
        <v>64</v>
      </c>
      <c r="Y16" s="9" t="s">
        <v>158</v>
      </c>
      <c r="Z16" s="9" t="s">
        <v>66</v>
      </c>
      <c r="AA16" s="9" t="s">
        <v>98</v>
      </c>
      <c r="AB16" s="9" t="s">
        <v>99</v>
      </c>
      <c r="AC16" s="9" t="s">
        <v>100</v>
      </c>
      <c r="AD16" s="9" t="s">
        <v>68</v>
      </c>
      <c r="AE16" s="9" t="s">
        <v>101</v>
      </c>
      <c r="AF16" s="9" t="s">
        <v>106</v>
      </c>
      <c r="AG16" s="9" t="s">
        <v>101</v>
      </c>
      <c r="AH16" s="9" t="s">
        <v>106</v>
      </c>
      <c r="AI16" s="9"/>
      <c r="AJ16" s="9" t="s">
        <v>103</v>
      </c>
      <c r="AK16" s="9" t="s">
        <v>70</v>
      </c>
      <c r="AL16" s="9" t="s">
        <v>103</v>
      </c>
      <c r="AM16" s="9" t="s">
        <v>70</v>
      </c>
      <c r="AN16" s="9" t="s">
        <v>163</v>
      </c>
      <c r="AO16" s="9" t="s">
        <v>178</v>
      </c>
      <c r="AP16" s="9" t="s">
        <v>179</v>
      </c>
      <c r="AQ16" s="9" t="s">
        <v>250</v>
      </c>
      <c r="AR16" s="9" t="s">
        <v>163</v>
      </c>
      <c r="AS16" s="9" t="s">
        <v>185</v>
      </c>
      <c r="AT16" s="40" t="s">
        <v>179</v>
      </c>
      <c r="AU16" s="9" t="s">
        <v>250</v>
      </c>
      <c r="AV16" s="17" t="s">
        <v>49</v>
      </c>
      <c r="AW16" s="9" t="s">
        <v>72</v>
      </c>
      <c r="AX16" s="9" t="s">
        <v>50</v>
      </c>
      <c r="AY16" s="9" t="s">
        <v>51</v>
      </c>
      <c r="AZ16" s="17" t="s">
        <v>49</v>
      </c>
      <c r="BA16" s="9" t="s">
        <v>72</v>
      </c>
      <c r="BB16" s="9" t="s">
        <v>50</v>
      </c>
      <c r="BC16" s="9" t="s">
        <v>51</v>
      </c>
      <c r="BD16" s="9" t="s">
        <v>49</v>
      </c>
      <c r="BE16" s="9" t="s">
        <v>72</v>
      </c>
      <c r="BF16" s="9" t="s">
        <v>50</v>
      </c>
      <c r="BG16" s="9" t="s">
        <v>51</v>
      </c>
      <c r="BH16" s="9" t="s">
        <v>49</v>
      </c>
      <c r="BI16" s="9" t="s">
        <v>72</v>
      </c>
      <c r="BJ16" s="9" t="s">
        <v>50</v>
      </c>
      <c r="BK16" s="9" t="s">
        <v>51</v>
      </c>
      <c r="BL16" s="17" t="s">
        <v>49</v>
      </c>
      <c r="BM16" s="9" t="s">
        <v>72</v>
      </c>
      <c r="BN16" s="9" t="s">
        <v>50</v>
      </c>
      <c r="BO16" s="9" t="s">
        <v>51</v>
      </c>
      <c r="BP16" s="17" t="s">
        <v>49</v>
      </c>
      <c r="BQ16" s="9" t="s">
        <v>72</v>
      </c>
      <c r="BR16" s="9" t="s">
        <v>50</v>
      </c>
      <c r="BS16" s="9" t="s">
        <v>51</v>
      </c>
      <c r="BT16" s="9" t="s">
        <v>49</v>
      </c>
      <c r="BU16" s="9" t="s">
        <v>72</v>
      </c>
      <c r="BV16" s="9" t="s">
        <v>50</v>
      </c>
      <c r="BW16" s="9" t="s">
        <v>51</v>
      </c>
      <c r="BX16" s="9" t="s">
        <v>49</v>
      </c>
      <c r="BY16" s="9" t="s">
        <v>72</v>
      </c>
      <c r="BZ16" s="9" t="s">
        <v>50</v>
      </c>
      <c r="CA16" s="9" t="s">
        <v>51</v>
      </c>
      <c r="CB16" s="9" t="s">
        <v>177</v>
      </c>
      <c r="CC16" s="9" t="s">
        <v>139</v>
      </c>
      <c r="CD16" s="9" t="s">
        <v>250</v>
      </c>
      <c r="CE16" s="9" t="s">
        <v>177</v>
      </c>
      <c r="CF16" s="9" t="s">
        <v>185</v>
      </c>
      <c r="CG16" s="9" t="s">
        <v>250</v>
      </c>
    </row>
    <row r="17" spans="1:85" x14ac:dyDescent="0.2">
      <c r="A17" t="s">
        <v>77</v>
      </c>
      <c r="B17">
        <v>2040</v>
      </c>
      <c r="C17">
        <v>16</v>
      </c>
      <c r="D17" s="6">
        <f>Parameters!$B$4</f>
        <v>27012.440000000002</v>
      </c>
      <c r="E17">
        <f>Parameters!$B$5</f>
        <v>20778.68</v>
      </c>
      <c r="F17" s="5">
        <f>Parameters!$B$8</f>
        <v>1.01088</v>
      </c>
      <c r="G17" s="6">
        <f>D17*POWER(F17,C17)</f>
        <v>32118.664788541773</v>
      </c>
      <c r="H17" s="6">
        <f>E17*POWER(F17,C17)</f>
        <v>24706.522538074205</v>
      </c>
      <c r="I17" s="8">
        <f>Parameters!B3*Parameters!B40</f>
        <v>320687.09999999998</v>
      </c>
      <c r="J17" s="8">
        <f>I17*Parameters!$B$10</f>
        <v>134688.58199999999</v>
      </c>
      <c r="K17" s="8">
        <f>I17*Parameters!$B$9</f>
        <v>185998.51799999998</v>
      </c>
      <c r="L17" s="8">
        <f>J17*G17</f>
        <v>4326017416.1020212</v>
      </c>
      <c r="M17" s="8">
        <f>K17*H17</f>
        <v>4595376577.0153999</v>
      </c>
      <c r="N17" s="8">
        <f>M17+L17</f>
        <v>8921393993.1174202</v>
      </c>
      <c r="O17" s="8">
        <f>Parameters!B40</f>
        <v>1287900</v>
      </c>
      <c r="P17" s="8">
        <f>O17*Parameters!$B$10</f>
        <v>540918</v>
      </c>
      <c r="Q17" s="8">
        <f>O17*Parameters!$B$9</f>
        <v>746982</v>
      </c>
      <c r="R17" s="8">
        <f>P17*G17</f>
        <v>17373563920.08844</v>
      </c>
      <c r="S17" s="8">
        <f>Q17*H17</f>
        <v>18455327618.535748</v>
      </c>
      <c r="T17" s="14">
        <f>S17+R17</f>
        <v>35828891538.624191</v>
      </c>
      <c r="W17" s="6">
        <f>SUM(W18:W27)</f>
        <v>35828891538.624191</v>
      </c>
      <c r="Z17" s="6">
        <f>SUM(Z18:Z27)</f>
        <v>35828891538.624191</v>
      </c>
      <c r="AA17" s="3">
        <f>Parameters!C40*Parameters!B2</f>
        <v>3054491</v>
      </c>
      <c r="AB17" s="3">
        <f>AA17+I17</f>
        <v>3375178.1</v>
      </c>
      <c r="AC17" s="6">
        <f>SUM(AC18:AC27)</f>
        <v>231144320131.69318</v>
      </c>
      <c r="AD17" s="6">
        <f>N17</f>
        <v>8921393993.1174202</v>
      </c>
      <c r="AE17" s="6">
        <f>AC17+AD17-W17</f>
        <v>204236822586.1864</v>
      </c>
      <c r="AF17" s="6">
        <f>AC17-W17</f>
        <v>195315428593.06897</v>
      </c>
      <c r="AG17" s="6">
        <f>AC17+AD17-Z17</f>
        <v>204236822586.1864</v>
      </c>
      <c r="AH17" s="6">
        <f>AC17-Z17</f>
        <v>195315428593.06897</v>
      </c>
      <c r="AI17" s="6"/>
      <c r="AJ17" s="6"/>
      <c r="AK17" s="6"/>
      <c r="AL17" s="6"/>
      <c r="AM17" s="6"/>
      <c r="AP17" t="s">
        <v>147</v>
      </c>
      <c r="AQ17" s="43" t="s">
        <v>147</v>
      </c>
      <c r="AT17" s="33" t="s">
        <v>147</v>
      </c>
      <c r="AU17" t="s">
        <v>147</v>
      </c>
      <c r="AV17" s="18">
        <f>SUM(AO18:AO27)</f>
        <v>161.99808513900572</v>
      </c>
      <c r="AW17" t="s">
        <v>50</v>
      </c>
      <c r="AX17">
        <f>SUM(AW18:AW27)</f>
        <v>18.964345582282597</v>
      </c>
      <c r="AY17" s="16">
        <f>MIN(AN19:AN27)</f>
        <v>3.5242157763316317</v>
      </c>
      <c r="AZ17" s="16">
        <f>SUM(AQ18:AQ27)</f>
        <v>46.235210050562252</v>
      </c>
      <c r="BA17" s="16"/>
      <c r="BB17" s="16">
        <f>SUM(BA18:BA27)</f>
        <v>21.480292287698596</v>
      </c>
      <c r="BC17" s="16">
        <f>MIN(AQ19:AQ27)</f>
        <v>4.1432858312062883</v>
      </c>
      <c r="BD17" s="23">
        <f>SUM(AS18:AS27)</f>
        <v>157.62496664399401</v>
      </c>
      <c r="BF17" s="23">
        <f>SUM(BE18:BE27)</f>
        <v>18.971984116388946</v>
      </c>
      <c r="BG17" s="23">
        <f>MIN(AR19:AR27)</f>
        <v>3.530847776516989</v>
      </c>
      <c r="BH17" s="23">
        <f>SUM(AU18:AU27)</f>
        <v>46.389507844940795</v>
      </c>
      <c r="BJ17">
        <f>SUM(BI17:BI27)</f>
        <v>21.517940394182396</v>
      </c>
      <c r="BK17" s="23">
        <f>MIN(AU19:AU27)</f>
        <v>4.1780550809188357</v>
      </c>
      <c r="BL17" s="18">
        <f>SUM(CB18:CB27)</f>
        <v>35.837401997834775</v>
      </c>
      <c r="BN17">
        <f>SUM(BM18:BM27)</f>
        <v>18.929127276351156</v>
      </c>
      <c r="BO17" s="16">
        <f>MIN(CB19:CB27)</f>
        <v>3.5057081792737459</v>
      </c>
      <c r="BP17" s="16">
        <f>SUM(CD18:CD27)</f>
        <v>45.682559223439405</v>
      </c>
      <c r="BQ17" s="16"/>
      <c r="BR17" s="16">
        <f>SUM(BQ18:BQ27)</f>
        <v>21.338951990539748</v>
      </c>
      <c r="BS17" s="16">
        <f>MIN(CD19:CD27)</f>
        <v>4.049918619566391</v>
      </c>
      <c r="BT17" s="23">
        <f>SUM(CE18:CE27)</f>
        <v>35.881173977932086</v>
      </c>
      <c r="BV17">
        <f>SUM(BU18:BU27)</f>
        <v>18.940888549022823</v>
      </c>
      <c r="BW17" s="23">
        <f>MIN(CE19:CE27)</f>
        <v>3.5143028511645422</v>
      </c>
      <c r="BX17" s="23">
        <f>SUM(CG18:CG27)</f>
        <v>45.88601603606331</v>
      </c>
      <c r="BZ17">
        <f>SUM(BY17:BY27)</f>
        <v>21.389996142126929</v>
      </c>
      <c r="CA17" s="23">
        <f>MIN(CG19:CG27)</f>
        <v>4.0926289534746667</v>
      </c>
      <c r="CB17">
        <f>Parameters!AO19</f>
        <v>0</v>
      </c>
    </row>
    <row r="18" spans="1:85" x14ac:dyDescent="0.2">
      <c r="A18" s="31">
        <v>1</v>
      </c>
      <c r="D18" s="6"/>
      <c r="F18" s="5"/>
      <c r="G18" s="6"/>
      <c r="H18" s="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16" cm="1">
        <f t="array" ref="U18:U27">Parameters!C15:C24</f>
        <v>3.6096393698449797E-3</v>
      </c>
      <c r="V18" s="16">
        <f>(U18*$T$17)/(Parameters!B15*POWER(Parameters!$B$8, $C$17))</f>
        <v>0.13628441951779635</v>
      </c>
      <c r="W18" s="6">
        <f>$T$17*U18</f>
        <v>129329377.47572355</v>
      </c>
      <c r="X18" s="8">
        <f>Parameters!D15</f>
        <v>0</v>
      </c>
      <c r="Y18" s="8">
        <f>(X18*$T$17)/(Parameters!B15*POWER(Parameters!$B$8, $C$17))</f>
        <v>0</v>
      </c>
      <c r="Z18" s="6">
        <f>$T$17*X18</f>
        <v>0</v>
      </c>
      <c r="AA18" s="3"/>
      <c r="AB18" s="3"/>
      <c r="AC18" s="6">
        <f>Parameters!B15*POWER(Parameters!$B$8, $C$17)</f>
        <v>948966711.91995943</v>
      </c>
      <c r="AD18" s="6">
        <f>$AD$3*Parameters!E15</f>
        <v>1009026392.9853771</v>
      </c>
      <c r="AE18" s="6">
        <f>AC18+AD18-W18</f>
        <v>1828663727.4296129</v>
      </c>
      <c r="AF18" s="6">
        <f t="shared" ref="AF18:AF27" si="35">AC18-W18</f>
        <v>819637334.44423592</v>
      </c>
      <c r="AG18" s="6">
        <f t="shared" ref="AG18:AG27" si="36">AC18+AD18-Z18</f>
        <v>1957993104.9053364</v>
      </c>
      <c r="AH18" s="6">
        <f t="shared" ref="AH18:AH27" si="37">AC18-Z18</f>
        <v>948966711.91995943</v>
      </c>
      <c r="AI18" s="8">
        <f>($AA$17+$I$17)/10</f>
        <v>337517.81</v>
      </c>
      <c r="AJ18" s="6">
        <f t="shared" ref="AJ18:AJ27" si="38">AE18/AI18</f>
        <v>5417.976987435457</v>
      </c>
      <c r="AK18" s="6">
        <f>AF18/AI18</f>
        <v>2428.4269160321819</v>
      </c>
      <c r="AL18" s="6">
        <f>AG18/AI18</f>
        <v>5801.1549224775317</v>
      </c>
      <c r="AM18" s="6">
        <f>AH18/AI18</f>
        <v>2811.6048510742571</v>
      </c>
      <c r="AN18" s="19">
        <f t="shared" ref="AN18:AN27" si="39">(POWER(AJ18, -0.26) - 1)/-0.26</f>
        <v>3.4347872800236932</v>
      </c>
      <c r="AO18" s="19">
        <f>(AN18-$AN$18)*100</f>
        <v>0</v>
      </c>
      <c r="AP18" s="19">
        <f>(POWER(AJ18, -1) - 1)/-1</f>
        <v>0.99981542926403733</v>
      </c>
      <c r="AQ18" s="19">
        <f>LOG(AJ18)</f>
        <v>3.7338371560587182</v>
      </c>
      <c r="AR18" s="23">
        <f>(POWER(AL18, -0.26) - 1)/-0.26</f>
        <v>3.4420314759599751</v>
      </c>
      <c r="AS18" s="23">
        <f>(AR18-$AR$18)*100</f>
        <v>0</v>
      </c>
      <c r="AT18" s="23">
        <f>(POWER(AL18, -1) - 1)/-1</f>
        <v>0.99982762053188312</v>
      </c>
      <c r="AU18" s="23">
        <f>LOG(AL18)</f>
        <v>3.7635144636538942</v>
      </c>
      <c r="AW18" cm="1">
        <f t="array" ref="AW18:AW27">SQRT(AN18:AN27)</f>
        <v>1.8533179112132092</v>
      </c>
      <c r="BA18">
        <f>SQRT(AQ18)</f>
        <v>1.9323139382767796</v>
      </c>
      <c r="BE18" cm="1">
        <f t="array" ref="BE18:BE27">SQRT(AR18:AR27)</f>
        <v>1.8552712674862335</v>
      </c>
      <c r="BI18">
        <f>SQRT(AU18)</f>
        <v>1.9399779544247131</v>
      </c>
      <c r="BM18">
        <f>SQRT(CB18)</f>
        <v>1.8273881322527332</v>
      </c>
      <c r="BQ18">
        <f>SQRT(CD18)</f>
        <v>1.8399252805021911</v>
      </c>
      <c r="BU18">
        <f>SQRT(CE18)</f>
        <v>1.8325638076397812</v>
      </c>
      <c r="BY18">
        <f>SQRT(CG18)</f>
        <v>1.8571360434729367</v>
      </c>
      <c r="CB18" s="19">
        <f>(POWER(AK18, -0.26) - 1)/-0.26</f>
        <v>3.3393473858981331</v>
      </c>
      <c r="CC18" s="19">
        <f>(CB18-$CB$4)*100</f>
        <v>-0.29214163153490347</v>
      </c>
      <c r="CD18" s="19">
        <f>LOG(AK18)</f>
        <v>3.3853250378310666</v>
      </c>
      <c r="CE18" s="23">
        <f>(POWER(AM18, -0.26) - 1)/-0.26</f>
        <v>3.3582901090712132</v>
      </c>
      <c r="CF18" s="23">
        <f>(CE18-$CE$4)*100</f>
        <v>0.2597228993990619</v>
      </c>
      <c r="CG18" s="23">
        <f>LOG(AM18)</f>
        <v>3.4489542839663132</v>
      </c>
    </row>
    <row r="19" spans="1:85" x14ac:dyDescent="0.2">
      <c r="A19" s="31">
        <v>2</v>
      </c>
      <c r="D19" s="6"/>
      <c r="F19" s="5"/>
      <c r="G19" s="6"/>
      <c r="H19" s="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>
        <v>1.4401036406566694E-2</v>
      </c>
      <c r="V19" s="16">
        <f>(U19*$T$17)/(Parameters!B16*POWER(Parameters!$B$8, $C$17))</f>
        <v>0.11993028917566079</v>
      </c>
      <c r="W19" s="6">
        <f t="shared" ref="W19:W27" si="40">$T$17*U19</f>
        <v>515973171.45465636</v>
      </c>
      <c r="X19" s="8">
        <f>Parameters!D16</f>
        <v>3.4800777499171295E-3</v>
      </c>
      <c r="Y19" s="8">
        <f>(X19*$T$17)/(Parameters!B16*POWER(Parameters!$B$8, $C$17))</f>
        <v>2.8981714865398869E-2</v>
      </c>
      <c r="Z19" s="6">
        <f t="shared" ref="Z19:Z27" si="41">$T$17*X19</f>
        <v>124687328.24776016</v>
      </c>
      <c r="AA19" s="3"/>
      <c r="AB19" s="3"/>
      <c r="AC19" s="6">
        <f>Parameters!B16*POWER(Parameters!$B$8, $C$17)</f>
        <v>4302275722.0147715</v>
      </c>
      <c r="AD19" s="6">
        <f>$AD$3*Parameters!E16</f>
        <v>908123753.68683934</v>
      </c>
      <c r="AE19" s="6">
        <f t="shared" ref="AE19:AE27" si="42">AC19+AD19-W19</f>
        <v>4694426304.246954</v>
      </c>
      <c r="AF19" s="6">
        <f t="shared" si="35"/>
        <v>3786302550.5601149</v>
      </c>
      <c r="AG19" s="6">
        <f t="shared" si="36"/>
        <v>5085712147.4538507</v>
      </c>
      <c r="AH19" s="6">
        <f t="shared" si="37"/>
        <v>4177588393.7670112</v>
      </c>
      <c r="AI19" s="8">
        <f t="shared" ref="AI19:AI27" si="43">($AA$17+$I$17)/10</f>
        <v>337517.81</v>
      </c>
      <c r="AJ19" s="6">
        <f t="shared" si="38"/>
        <v>13908.677305790037</v>
      </c>
      <c r="AK19" s="6">
        <f t="shared" ref="AK19:AK27" si="44">AF19/AI19</f>
        <v>11218.08224152709</v>
      </c>
      <c r="AL19" s="6">
        <f t="shared" ref="AL19:AL27" si="45">AG19/AI19</f>
        <v>15067.981590227344</v>
      </c>
      <c r="AM19" s="6">
        <f t="shared" ref="AM19:AM27" si="46">AH19/AI19</f>
        <v>12377.386525964397</v>
      </c>
      <c r="AN19" s="19">
        <f t="shared" si="39"/>
        <v>3.5242157763316317</v>
      </c>
      <c r="AO19" s="19">
        <f t="shared" ref="AO19:AO27" si="47">(AN19-$AN$18)*100</f>
        <v>8.9428496307938588</v>
      </c>
      <c r="AP19" s="19">
        <f t="shared" ref="AP19:AP27" si="48">(POWER(AJ19, -1) - 1)/-1</f>
        <v>0.9999281024372042</v>
      </c>
      <c r="AQ19" s="19">
        <f t="shared" ref="AQ19:AQ27" si="49">LOG(AJ19)</f>
        <v>4.1432858312062883</v>
      </c>
      <c r="AR19" s="23">
        <f t="shared" ref="AR19:AR27" si="50">(POWER(AL19, -0.26) - 1)/-0.26</f>
        <v>3.530847776516989</v>
      </c>
      <c r="AS19" s="23">
        <f t="shared" ref="AS19:AS27" si="51">(AR19-$AR$18)*100</f>
        <v>8.881630055701395</v>
      </c>
      <c r="AT19" s="23">
        <f t="shared" ref="AT19:AT27" si="52">(POWER(AL19, -1) - 1)/-1</f>
        <v>0.99993363411058001</v>
      </c>
      <c r="AU19" s="23">
        <f t="shared" ref="AU19:AU27" si="53">LOG(AL19)</f>
        <v>4.1780550809188357</v>
      </c>
      <c r="AW19">
        <v>1.8772894759017937</v>
      </c>
      <c r="BA19">
        <f t="shared" ref="BA19:BA27" si="54">SQRT(AQ19)</f>
        <v>2.0355062837550486</v>
      </c>
      <c r="BE19">
        <v>1.8790550222164835</v>
      </c>
      <c r="BI19">
        <f t="shared" ref="BI19:BI27" si="55">SQRT(AU19)</f>
        <v>2.044029129175716</v>
      </c>
      <c r="BM19">
        <f t="shared" ref="BM19:BM27" si="56">SQRT(CB19)</f>
        <v>1.8723536469571516</v>
      </c>
      <c r="BQ19">
        <f t="shared" ref="BQ19:BQ27" si="57">SQRT(CD19)</f>
        <v>2.0124409605169515</v>
      </c>
      <c r="BU19">
        <f t="shared" ref="BU19:BU27" si="58">SQRT(CE19)</f>
        <v>1.8746473938222468</v>
      </c>
      <c r="BY19">
        <f t="shared" ref="BY19:BY27" si="59">SQRT(CG19)</f>
        <v>2.0230247041187281</v>
      </c>
      <c r="CB19" s="19">
        <f t="shared" ref="CB19:CB27" si="60">(POWER(AK19, -0.26) - 1)/-0.26</f>
        <v>3.5057081792737459</v>
      </c>
      <c r="CC19" s="19">
        <f t="shared" ref="CC19:CC27" si="61">(CB19-$CB$4)*100</f>
        <v>16.343937706026381</v>
      </c>
      <c r="CD19" s="19">
        <f t="shared" ref="CD19:CD27" si="62">LOG(AK19)</f>
        <v>4.049918619566391</v>
      </c>
      <c r="CE19" s="23">
        <f t="shared" ref="CE19:CE27" si="63">(POWER(AM19, -0.26) - 1)/-0.26</f>
        <v>3.5143028511645422</v>
      </c>
      <c r="CF19" s="23">
        <f t="shared" ref="CF19:CF27" si="64">(CE19-$CE$4)*100</f>
        <v>15.860997108731967</v>
      </c>
      <c r="CG19" s="23">
        <f t="shared" ref="CG19:CG27" si="65">LOG(AM19)</f>
        <v>4.0926289534746667</v>
      </c>
    </row>
    <row r="20" spans="1:85" x14ac:dyDescent="0.2">
      <c r="A20" s="31">
        <v>3</v>
      </c>
      <c r="D20" s="6"/>
      <c r="F20" s="5"/>
      <c r="G20" s="6"/>
      <c r="H20" s="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>
        <v>3.1399077404942015E-2</v>
      </c>
      <c r="V20" s="16">
        <f>(U20*$T$17)/(Parameters!B17*POWER(Parameters!$B$8, $C$17))</f>
        <v>0.12538166595637262</v>
      </c>
      <c r="W20" s="6">
        <f t="shared" si="40"/>
        <v>1124994138.7545331</v>
      </c>
      <c r="X20" s="8">
        <f>Parameters!D17</f>
        <v>1.0886748490444263E-2</v>
      </c>
      <c r="Y20" s="8">
        <f>(X20*$T$17)/(Parameters!B17*POWER(Parameters!$B$8, $C$17))</f>
        <v>4.3472572298098304E-2</v>
      </c>
      <c r="Z20" s="6">
        <f t="shared" si="41"/>
        <v>390060130.87240815</v>
      </c>
      <c r="AA20" s="3"/>
      <c r="AB20" s="3"/>
      <c r="AC20" s="6">
        <f>Parameters!B17*POWER(Parameters!$B$8, $C$17)</f>
        <v>8972556953.789257</v>
      </c>
      <c r="AD20" s="6">
        <f>$AD$3*Parameters!E17</f>
        <v>807221114.38830161</v>
      </c>
      <c r="AE20" s="6">
        <f t="shared" si="42"/>
        <v>8654783929.4230251</v>
      </c>
      <c r="AF20" s="6">
        <f t="shared" si="35"/>
        <v>7847562815.0347242</v>
      </c>
      <c r="AG20" s="6">
        <f t="shared" si="36"/>
        <v>9389717937.305151</v>
      </c>
      <c r="AH20" s="6">
        <f t="shared" si="37"/>
        <v>8582496822.9168491</v>
      </c>
      <c r="AI20" s="8">
        <f t="shared" si="43"/>
        <v>337517.81</v>
      </c>
      <c r="AJ20" s="6">
        <f t="shared" si="38"/>
        <v>25642.45107368712</v>
      </c>
      <c r="AK20" s="6">
        <f t="shared" si="44"/>
        <v>23250.811016564501</v>
      </c>
      <c r="AL20" s="6">
        <f t="shared" si="45"/>
        <v>27819.918413505799</v>
      </c>
      <c r="AM20" s="6">
        <f t="shared" si="46"/>
        <v>25428.278356383176</v>
      </c>
      <c r="AN20" s="19">
        <f t="shared" si="39"/>
        <v>3.5715559707114299</v>
      </c>
      <c r="AO20" s="19">
        <f t="shared" si="47"/>
        <v>13.676869068773678</v>
      </c>
      <c r="AP20" s="19">
        <f t="shared" si="48"/>
        <v>0.99996100216796258</v>
      </c>
      <c r="AQ20" s="19">
        <f t="shared" si="49"/>
        <v>4.4089595355464706</v>
      </c>
      <c r="AR20" s="23">
        <f t="shared" si="50"/>
        <v>3.577313695249996</v>
      </c>
      <c r="AS20" s="23">
        <f t="shared" si="51"/>
        <v>13.528221929002093</v>
      </c>
      <c r="AT20" s="23">
        <f t="shared" si="52"/>
        <v>0.99996405453153614</v>
      </c>
      <c r="AU20" s="23">
        <f t="shared" si="53"/>
        <v>4.4443558520177753</v>
      </c>
      <c r="AW20">
        <v>1.8898560714275121</v>
      </c>
      <c r="BA20">
        <f t="shared" si="54"/>
        <v>2.0997522557545856</v>
      </c>
      <c r="BE20">
        <v>1.8913787815374254</v>
      </c>
      <c r="BI20">
        <f t="shared" si="55"/>
        <v>2.1081640951353324</v>
      </c>
      <c r="BM20">
        <f t="shared" si="56"/>
        <v>1.8879819823071566</v>
      </c>
      <c r="BQ20">
        <f t="shared" si="57"/>
        <v>2.0896023799301804</v>
      </c>
      <c r="BU20">
        <f t="shared" si="58"/>
        <v>1.8896974622662457</v>
      </c>
      <c r="BY20">
        <f t="shared" si="59"/>
        <v>2.0988846935663048</v>
      </c>
      <c r="CB20" s="19">
        <f t="shared" si="60"/>
        <v>3.5644759655164608</v>
      </c>
      <c r="CC20" s="19">
        <f t="shared" si="61"/>
        <v>22.220716330297876</v>
      </c>
      <c r="CD20" s="19">
        <f t="shared" si="62"/>
        <v>4.3664381062098734</v>
      </c>
      <c r="CE20" s="23">
        <f t="shared" si="63"/>
        <v>3.5709564988954892</v>
      </c>
      <c r="CF20" s="23">
        <f t="shared" si="64"/>
        <v>21.526361881826659</v>
      </c>
      <c r="CG20" s="23">
        <f t="shared" si="65"/>
        <v>4.4053169568869217</v>
      </c>
    </row>
    <row r="21" spans="1:85" x14ac:dyDescent="0.2">
      <c r="A21" s="31">
        <v>4</v>
      </c>
      <c r="D21" s="6"/>
      <c r="F21" s="5"/>
      <c r="G21" s="6"/>
      <c r="H21" s="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>
        <v>5.1692242898110294E-2</v>
      </c>
      <c r="V21" s="16">
        <f>(U21*$T$17)/(Parameters!B18*POWER(Parameters!$B$8, $C$17))</f>
        <v>0.13083304273708449</v>
      </c>
      <c r="W21" s="6">
        <f>$T$17*U21</f>
        <v>1852075764.1846104</v>
      </c>
      <c r="X21" s="8">
        <f>Parameters!D18</f>
        <v>2.2901398806974758E-2</v>
      </c>
      <c r="Y21" s="8">
        <f>(X21*$T$17)/(Parameters!B18*POWER(Parameters!$B$8, $C$17))</f>
        <v>5.7963429730797739E-2</v>
      </c>
      <c r="Z21" s="6">
        <f t="shared" si="41"/>
        <v>820531733.93787611</v>
      </c>
      <c r="AA21" s="3"/>
      <c r="AB21" s="3"/>
      <c r="AC21" s="6">
        <f>Parameters!B18*POWER(Parameters!$B$8, $C$17)</f>
        <v>14156024544.246431</v>
      </c>
      <c r="AD21" s="6">
        <f>$AD$3*Parameters!E18</f>
        <v>706318475.08976388</v>
      </c>
      <c r="AE21" s="6">
        <f t="shared" si="42"/>
        <v>13010267255.151585</v>
      </c>
      <c r="AF21" s="6">
        <f t="shared" si="35"/>
        <v>12303948780.061821</v>
      </c>
      <c r="AG21" s="6">
        <f t="shared" si="36"/>
        <v>14041811285.398319</v>
      </c>
      <c r="AH21" s="6">
        <f t="shared" si="37"/>
        <v>13335492810.308556</v>
      </c>
      <c r="AI21" s="8">
        <f t="shared" si="43"/>
        <v>337517.81</v>
      </c>
      <c r="AJ21" s="6">
        <f t="shared" si="38"/>
        <v>38546.905880763996</v>
      </c>
      <c r="AK21" s="6">
        <f t="shared" si="44"/>
        <v>36454.220830781705</v>
      </c>
      <c r="AL21" s="6">
        <f t="shared" si="45"/>
        <v>41603.171356789499</v>
      </c>
      <c r="AM21" s="6">
        <f t="shared" si="46"/>
        <v>39510.486306807201</v>
      </c>
      <c r="AN21" s="19">
        <f t="shared" si="39"/>
        <v>3.5991695299411059</v>
      </c>
      <c r="AO21" s="19">
        <f t="shared" si="47"/>
        <v>16.438224991741279</v>
      </c>
      <c r="AP21" s="19">
        <f t="shared" si="48"/>
        <v>0.99997405758057223</v>
      </c>
      <c r="AQ21" s="19">
        <f t="shared" si="49"/>
        <v>4.5859895234287356</v>
      </c>
      <c r="AR21" s="23">
        <f t="shared" si="50"/>
        <v>3.6040209602630102</v>
      </c>
      <c r="AS21" s="23">
        <f t="shared" si="51"/>
        <v>16.198948430303517</v>
      </c>
      <c r="AT21" s="23">
        <f t="shared" si="52"/>
        <v>0.9999759633708829</v>
      </c>
      <c r="AU21" s="23">
        <f t="shared" si="53"/>
        <v>4.6191264376040859</v>
      </c>
      <c r="AW21">
        <v>1.8971477354020445</v>
      </c>
      <c r="BA21">
        <f t="shared" si="54"/>
        <v>2.1414923589470813</v>
      </c>
      <c r="BE21">
        <v>1.8984259164536841</v>
      </c>
      <c r="BI21">
        <f t="shared" si="55"/>
        <v>2.1492153074096803</v>
      </c>
      <c r="BM21">
        <f t="shared" si="56"/>
        <v>1.896195915922263</v>
      </c>
      <c r="BQ21">
        <f t="shared" si="57"/>
        <v>2.1358248570750353</v>
      </c>
      <c r="BU21">
        <f t="shared" si="58"/>
        <v>1.897564217820209</v>
      </c>
      <c r="BY21">
        <f t="shared" si="59"/>
        <v>2.1439944904639772</v>
      </c>
      <c r="CB21" s="19">
        <f t="shared" si="60"/>
        <v>3.5955589515602702</v>
      </c>
      <c r="CC21" s="19">
        <f t="shared" si="61"/>
        <v>25.329014934678806</v>
      </c>
      <c r="CD21" s="19">
        <f t="shared" si="62"/>
        <v>4.5617478200995958</v>
      </c>
      <c r="CE21" s="23">
        <f t="shared" si="63"/>
        <v>3.6007499607516213</v>
      </c>
      <c r="CF21" s="23">
        <f t="shared" si="64"/>
        <v>24.50570806743988</v>
      </c>
      <c r="CG21" s="23">
        <f t="shared" si="65"/>
        <v>4.59671237513989</v>
      </c>
    </row>
    <row r="22" spans="1:85" x14ac:dyDescent="0.2">
      <c r="A22" s="31">
        <v>5</v>
      </c>
      <c r="D22" s="6"/>
      <c r="E22" s="5"/>
      <c r="F22" s="6"/>
      <c r="G22" s="6"/>
      <c r="H22" s="6"/>
      <c r="I22" s="8"/>
      <c r="J22" s="8"/>
      <c r="K22" s="6"/>
      <c r="L22" s="6"/>
      <c r="M22" s="6"/>
      <c r="N22" s="6"/>
      <c r="O22" s="6"/>
      <c r="P22" s="6"/>
      <c r="Q22" s="6"/>
      <c r="R22" s="6"/>
      <c r="S22" s="6"/>
      <c r="T22" s="6"/>
      <c r="U22" s="8">
        <v>7.0583126136746943E-2</v>
      </c>
      <c r="V22" s="16">
        <f>(U22*$T$17)/(Parameters!B19*POWER(Parameters!$B$8, $C$17))</f>
        <v>0.13628441951779635</v>
      </c>
      <c r="W22" s="6">
        <f t="shared" si="40"/>
        <v>2528915170.8105364</v>
      </c>
      <c r="X22" s="8">
        <f>Parameters!D19</f>
        <v>3.7524833052111288E-2</v>
      </c>
      <c r="Y22" s="8">
        <f>(X22*$T$17)/(Parameters!B19*POWER(Parameters!$B$8, $C$17))</f>
        <v>7.2454287163497166E-2</v>
      </c>
      <c r="Z22" s="6">
        <f t="shared" si="41"/>
        <v>1344473173.4290755</v>
      </c>
      <c r="AA22" s="3"/>
      <c r="AB22" s="3"/>
      <c r="AC22" s="6">
        <f>Parameters!B19*POWER(Parameters!$B$8, $C$17)</f>
        <v>18556157627.984058</v>
      </c>
      <c r="AD22" s="6">
        <f>$AD$3*Parameters!E19</f>
        <v>605415835.79122615</v>
      </c>
      <c r="AE22" s="6">
        <f t="shared" si="42"/>
        <v>16632658292.964748</v>
      </c>
      <c r="AF22" s="6">
        <f t="shared" si="35"/>
        <v>16027242457.173523</v>
      </c>
      <c r="AG22" s="6">
        <f t="shared" si="36"/>
        <v>17817100290.346207</v>
      </c>
      <c r="AH22" s="6">
        <f t="shared" si="37"/>
        <v>17211684454.554981</v>
      </c>
      <c r="AI22" s="8">
        <f t="shared" si="43"/>
        <v>337517.81</v>
      </c>
      <c r="AJ22" s="6">
        <f t="shared" si="38"/>
        <v>49279.350008121786</v>
      </c>
      <c r="AK22" s="6">
        <f t="shared" si="44"/>
        <v>47485.619965279824</v>
      </c>
      <c r="AL22" s="6">
        <f t="shared" si="45"/>
        <v>52788.622592526917</v>
      </c>
      <c r="AM22" s="6">
        <f t="shared" si="46"/>
        <v>50994.892549684955</v>
      </c>
      <c r="AN22" s="19">
        <f t="shared" si="39"/>
        <v>3.6144497243272511</v>
      </c>
      <c r="AO22" s="19">
        <f t="shared" si="47"/>
        <v>17.966244430355793</v>
      </c>
      <c r="AP22" s="19">
        <f t="shared" si="48"/>
        <v>0.99997970752455467</v>
      </c>
      <c r="AQ22" s="19">
        <f t="shared" si="49"/>
        <v>4.6926649708741515</v>
      </c>
      <c r="AR22" s="23">
        <f t="shared" si="50"/>
        <v>3.6185570385115016</v>
      </c>
      <c r="AS22" s="23">
        <f t="shared" si="51"/>
        <v>17.652556255152653</v>
      </c>
      <c r="AT22" s="23">
        <f t="shared" si="52"/>
        <v>0.99998105652409763</v>
      </c>
      <c r="AU22" s="23">
        <f t="shared" si="53"/>
        <v>4.7225403301527065</v>
      </c>
      <c r="AW22">
        <v>1.9011706194677138</v>
      </c>
      <c r="BA22">
        <f t="shared" si="54"/>
        <v>2.1662559799973207</v>
      </c>
      <c r="BE22">
        <v>1.9022505193878911</v>
      </c>
      <c r="BI22">
        <f t="shared" si="55"/>
        <v>2.1731406604618826</v>
      </c>
      <c r="BM22">
        <f t="shared" si="56"/>
        <v>1.9005802319429073</v>
      </c>
      <c r="BQ22">
        <f t="shared" si="57"/>
        <v>2.1625360372631603</v>
      </c>
      <c r="BU22">
        <f t="shared" si="58"/>
        <v>1.9017103143072023</v>
      </c>
      <c r="BY22">
        <f t="shared" si="59"/>
        <v>2.1696835439824032</v>
      </c>
      <c r="CB22" s="19">
        <f t="shared" si="60"/>
        <v>3.6122052180521549</v>
      </c>
      <c r="CC22" s="19">
        <f t="shared" si="61"/>
        <v>26.99364158386728</v>
      </c>
      <c r="CD22" s="19">
        <f t="shared" si="62"/>
        <v>4.6765621124618528</v>
      </c>
      <c r="CE22" s="23">
        <f t="shared" si="63"/>
        <v>3.6165021195423979</v>
      </c>
      <c r="CF22" s="23">
        <f t="shared" si="64"/>
        <v>26.08092394651753</v>
      </c>
      <c r="CG22" s="23">
        <f t="shared" si="65"/>
        <v>4.7075266810280398</v>
      </c>
    </row>
    <row r="23" spans="1:85" x14ac:dyDescent="0.2">
      <c r="A23" s="31">
        <v>6</v>
      </c>
      <c r="N23" s="8"/>
      <c r="O23" s="8"/>
      <c r="P23" s="8"/>
      <c r="Q23" s="8"/>
      <c r="R23" s="8"/>
      <c r="S23" s="8"/>
      <c r="T23" s="8"/>
      <c r="U23" s="8">
        <v>9.0905110853151228E-2</v>
      </c>
      <c r="V23" s="16">
        <f>(U23*$T$17)/(Parameters!B20*POWER(Parameters!$B$8, $C$17))</f>
        <v>0.14718717307922008</v>
      </c>
      <c r="W23" s="6">
        <f t="shared" si="40"/>
        <v>3257029357.0641642</v>
      </c>
      <c r="X23" s="8">
        <f>Parameters!D20</f>
        <v>5.3698687476024153E-2</v>
      </c>
      <c r="Y23" s="16">
        <f>(X23*$T$17)/(Parameters!B20*POWER(Parameters!$B$8, $C$17))</f>
        <v>8.6945144596196608E-2</v>
      </c>
      <c r="Z23" s="6">
        <f t="shared" si="41"/>
        <v>1923964449.3449466</v>
      </c>
      <c r="AA23" s="3"/>
      <c r="AB23" s="3"/>
      <c r="AC23" s="6">
        <f>Parameters!B20*POWER(Parameters!$B$8, $C$17)</f>
        <v>22128486395.422131</v>
      </c>
      <c r="AD23" s="6">
        <f>$AD$3*Parameters!E20</f>
        <v>504513196.49268854</v>
      </c>
      <c r="AE23" s="6">
        <f t="shared" si="42"/>
        <v>19375970234.850655</v>
      </c>
      <c r="AF23" s="6">
        <f t="shared" si="35"/>
        <v>18871457038.357967</v>
      </c>
      <c r="AG23" s="6">
        <f t="shared" si="36"/>
        <v>20709035142.56987</v>
      </c>
      <c r="AH23" s="6">
        <f t="shared" si="37"/>
        <v>20204521946.077183</v>
      </c>
      <c r="AI23" s="8">
        <f t="shared" si="43"/>
        <v>337517.81</v>
      </c>
      <c r="AJ23" s="6">
        <f t="shared" si="38"/>
        <v>57407.252775344372</v>
      </c>
      <c r="AK23" s="6">
        <f t="shared" si="44"/>
        <v>55912.477739642738</v>
      </c>
      <c r="AL23" s="6">
        <f t="shared" si="45"/>
        <v>61356.866301573449</v>
      </c>
      <c r="AM23" s="6">
        <f t="shared" si="46"/>
        <v>59862.091265871815</v>
      </c>
      <c r="AN23" s="19">
        <f t="shared" si="39"/>
        <v>3.6234666263022164</v>
      </c>
      <c r="AO23" s="19">
        <f t="shared" si="47"/>
        <v>18.867934627852321</v>
      </c>
      <c r="AP23" s="19">
        <f t="shared" si="48"/>
        <v>0.99998258059824052</v>
      </c>
      <c r="AQ23" s="19">
        <f t="shared" si="49"/>
        <v>4.7589667641981181</v>
      </c>
      <c r="AR23" s="23">
        <f t="shared" si="50"/>
        <v>3.6272858671803991</v>
      </c>
      <c r="AS23" s="23">
        <f t="shared" si="51"/>
        <v>18.525439122042407</v>
      </c>
      <c r="AT23" s="23">
        <f t="shared" si="52"/>
        <v>0.99998370190558483</v>
      </c>
      <c r="AU23" s="23">
        <f t="shared" si="53"/>
        <v>4.7878631706493984</v>
      </c>
      <c r="AW23">
        <v>1.9035405502122136</v>
      </c>
      <c r="BA23">
        <f t="shared" si="54"/>
        <v>2.1815056186492203</v>
      </c>
      <c r="BE23">
        <v>1.9045434799920948</v>
      </c>
      <c r="BI23">
        <f t="shared" si="55"/>
        <v>2.188118637242825</v>
      </c>
      <c r="BM23">
        <f t="shared" si="56"/>
        <v>1.9031378903571678</v>
      </c>
      <c r="BQ23">
        <f t="shared" si="57"/>
        <v>2.1788778621748599</v>
      </c>
      <c r="BU23">
        <f t="shared" si="58"/>
        <v>1.9041737988036269</v>
      </c>
      <c r="BY23">
        <f t="shared" si="59"/>
        <v>2.1856696650520546</v>
      </c>
      <c r="CB23" s="19">
        <f t="shared" si="60"/>
        <v>3.6219338297131314</v>
      </c>
      <c r="CC23" s="19">
        <f t="shared" si="61"/>
        <v>27.966502749964928</v>
      </c>
      <c r="CD23" s="19">
        <f t="shared" si="62"/>
        <v>4.7475087382756875</v>
      </c>
      <c r="CE23" s="23">
        <f t="shared" si="63"/>
        <v>3.6258778560502352</v>
      </c>
      <c r="CF23" s="23">
        <f t="shared" si="64"/>
        <v>27.018497597301263</v>
      </c>
      <c r="CG23" s="23">
        <f t="shared" si="65"/>
        <v>4.7771518847287604</v>
      </c>
    </row>
    <row r="24" spans="1:85" x14ac:dyDescent="0.2">
      <c r="A24" s="31">
        <v>7</v>
      </c>
      <c r="U24" s="8">
        <v>0.11035602414482847</v>
      </c>
      <c r="V24" s="16">
        <f>(U24*$T$17)/(Parameters!B21*POWER(Parameters!$B$8, $C$17))</f>
        <v>0.15263854985993194</v>
      </c>
      <c r="W24" s="6">
        <f t="shared" si="40"/>
        <v>3953934019.7188516</v>
      </c>
      <c r="X24" s="8">
        <f>Parameters!D21</f>
        <v>8.3813868210341438E-2</v>
      </c>
      <c r="Y24" s="8">
        <f>(X24*$T$17)/(Parameters!B21*POWER(Parameters!$B$8, $C$17))</f>
        <v>0.11592685946159548</v>
      </c>
      <c r="Z24" s="6">
        <f t="shared" si="41"/>
        <v>3002957993.5408654</v>
      </c>
      <c r="AC24" s="6">
        <f>Parameters!B21*POWER(Parameters!$B$8, $C$17)</f>
        <v>25903901886.824532</v>
      </c>
      <c r="AD24" s="6">
        <f>$AD$3*Parameters!E21</f>
        <v>403610557.19415081</v>
      </c>
      <c r="AE24" s="6">
        <f t="shared" si="42"/>
        <v>22353578424.299828</v>
      </c>
      <c r="AF24" s="6">
        <f t="shared" si="35"/>
        <v>21949967867.105679</v>
      </c>
      <c r="AG24" s="6">
        <f t="shared" si="36"/>
        <v>23304554450.477814</v>
      </c>
      <c r="AH24" s="6">
        <f t="shared" si="37"/>
        <v>22900943893.283665</v>
      </c>
      <c r="AI24" s="8">
        <f t="shared" si="43"/>
        <v>337517.81</v>
      </c>
      <c r="AJ24" s="6">
        <f t="shared" si="38"/>
        <v>66229.330014614126</v>
      </c>
      <c r="AK24" s="6">
        <f t="shared" si="44"/>
        <v>65033.509986052821</v>
      </c>
      <c r="AL24" s="6">
        <f t="shared" si="45"/>
        <v>69046.888075262788</v>
      </c>
      <c r="AM24" s="6">
        <f t="shared" si="46"/>
        <v>67851.06804670149</v>
      </c>
      <c r="AN24" s="19">
        <f t="shared" si="39"/>
        <v>3.6315914759790924</v>
      </c>
      <c r="AO24" s="19">
        <f t="shared" si="47"/>
        <v>19.680419595539924</v>
      </c>
      <c r="AP24" s="19">
        <f t="shared" si="48"/>
        <v>0.9999849009494769</v>
      </c>
      <c r="AQ24" s="19">
        <f t="shared" si="49"/>
        <v>4.8210503616839437</v>
      </c>
      <c r="AR24" s="23">
        <f t="shared" si="50"/>
        <v>3.6339031206129544</v>
      </c>
      <c r="AS24" s="23">
        <f t="shared" si="51"/>
        <v>19.187164465297933</v>
      </c>
      <c r="AT24" s="23">
        <f t="shared" si="52"/>
        <v>0.99998551708805605</v>
      </c>
      <c r="AU24" s="23">
        <f t="shared" si="53"/>
        <v>4.8391441098198396</v>
      </c>
      <c r="AW24">
        <v>1.9056734966880062</v>
      </c>
      <c r="BA24">
        <f t="shared" si="54"/>
        <v>2.195689040297816</v>
      </c>
      <c r="BE24">
        <v>1.9062799166473308</v>
      </c>
      <c r="BI24">
        <f t="shared" si="55"/>
        <v>2.1998054709041526</v>
      </c>
      <c r="BM24">
        <f t="shared" si="56"/>
        <v>1.9054061504753299</v>
      </c>
      <c r="BQ24">
        <f t="shared" si="57"/>
        <v>2.1938863221154432</v>
      </c>
      <c r="BU24">
        <f t="shared" si="58"/>
        <v>1.9060264438389189</v>
      </c>
      <c r="BY24">
        <f t="shared" si="59"/>
        <v>2.1980802279030796</v>
      </c>
      <c r="CB24" s="19">
        <f t="shared" si="60"/>
        <v>3.6305725982692159</v>
      </c>
      <c r="CC24" s="19">
        <f t="shared" si="61"/>
        <v>28.830379605573377</v>
      </c>
      <c r="CD24" s="19">
        <f t="shared" si="62"/>
        <v>4.8131371943652264</v>
      </c>
      <c r="CE24" s="23">
        <f t="shared" si="63"/>
        <v>3.632936804613236</v>
      </c>
      <c r="CF24" s="23">
        <f t="shared" si="64"/>
        <v>27.724392453601343</v>
      </c>
      <c r="CG24" s="23">
        <f t="shared" si="65"/>
        <v>4.8315566882984546</v>
      </c>
    </row>
    <row r="25" spans="1:85" x14ac:dyDescent="0.2">
      <c r="A25" s="31">
        <v>8</v>
      </c>
      <c r="U25" s="8">
        <v>0.13623161609900061</v>
      </c>
      <c r="V25" s="16">
        <f>(U25*$T$17)/(Parameters!B22*POWER(Parameters!$B$8, $C$17))</f>
        <v>0.15808992664064375</v>
      </c>
      <c r="W25" s="6">
        <f t="shared" si="40"/>
        <v>4881027797.3425817</v>
      </c>
      <c r="X25" s="8">
        <f>Parameters!D22</f>
        <v>0.13736006243615159</v>
      </c>
      <c r="Y25" s="16">
        <f>(X25*$T$17)/(Parameters!B22*POWER(Parameters!$B$8, $C$17))</f>
        <v>0.15939943175969379</v>
      </c>
      <c r="Z25" s="6">
        <f t="shared" si="41"/>
        <v>4921458778.7635221</v>
      </c>
      <c r="AC25" s="6">
        <f>Parameters!B22*POWER(Parameters!$B$8, $C$17)</f>
        <v>30875008301.052029</v>
      </c>
      <c r="AD25" s="6">
        <f>$AD$3*Parameters!E22</f>
        <v>302707917.89561307</v>
      </c>
      <c r="AE25" s="6">
        <f t="shared" si="42"/>
        <v>26296688421.605061</v>
      </c>
      <c r="AF25" s="6">
        <f t="shared" si="35"/>
        <v>25993980503.709446</v>
      </c>
      <c r="AG25" s="6">
        <f t="shared" si="36"/>
        <v>26256257440.18412</v>
      </c>
      <c r="AH25" s="6">
        <f t="shared" si="37"/>
        <v>25953549522.288506</v>
      </c>
      <c r="AI25" s="8">
        <f t="shared" si="43"/>
        <v>337517.81</v>
      </c>
      <c r="AJ25" s="6">
        <f t="shared" si="38"/>
        <v>77912.002396570009</v>
      </c>
      <c r="AK25" s="6">
        <f t="shared" si="44"/>
        <v>77015.137375149017</v>
      </c>
      <c r="AL25" s="6">
        <f t="shared" si="45"/>
        <v>77792.213217382872</v>
      </c>
      <c r="AM25" s="6">
        <f t="shared" si="46"/>
        <v>76895.34819596188</v>
      </c>
      <c r="AN25" s="19">
        <f t="shared" si="39"/>
        <v>3.6404655802336854</v>
      </c>
      <c r="AO25" s="19">
        <f t="shared" si="47"/>
        <v>20.567830020999224</v>
      </c>
      <c r="AP25" s="19">
        <f t="shared" si="48"/>
        <v>0.99998716500706897</v>
      </c>
      <c r="AQ25" s="19">
        <f t="shared" si="49"/>
        <v>4.8916043661844908</v>
      </c>
      <c r="AR25" s="23">
        <f t="shared" si="50"/>
        <v>3.6403832769736253</v>
      </c>
      <c r="AS25" s="23">
        <f t="shared" si="51"/>
        <v>19.835180101365026</v>
      </c>
      <c r="AT25" s="23">
        <f t="shared" si="52"/>
        <v>0.99998714524296661</v>
      </c>
      <c r="AU25" s="23">
        <f t="shared" si="53"/>
        <v>4.8909361275042267</v>
      </c>
      <c r="AW25">
        <v>1.908000414107315</v>
      </c>
      <c r="BA25">
        <f t="shared" si="54"/>
        <v>2.2116971687336608</v>
      </c>
      <c r="BE25">
        <v>1.9079788460498259</v>
      </c>
      <c r="BI25">
        <f t="shared" si="55"/>
        <v>2.2115460943657101</v>
      </c>
      <c r="BM25">
        <f t="shared" si="56"/>
        <v>1.9078379037033975</v>
      </c>
      <c r="BQ25">
        <f t="shared" si="57"/>
        <v>2.2105601313749066</v>
      </c>
      <c r="BU25">
        <f t="shared" si="58"/>
        <v>1.9078160165849281</v>
      </c>
      <c r="BY25">
        <f t="shared" si="59"/>
        <v>2.2104072176498919</v>
      </c>
      <c r="CB25" s="19">
        <f t="shared" si="60"/>
        <v>3.6398454668073739</v>
      </c>
      <c r="CC25" s="19">
        <f t="shared" si="61"/>
        <v>29.757666459389178</v>
      </c>
      <c r="CD25" s="19">
        <f t="shared" si="62"/>
        <v>4.8865760944242442</v>
      </c>
      <c r="CE25" s="23">
        <f t="shared" si="63"/>
        <v>3.6397619531379823</v>
      </c>
      <c r="CF25" s="23">
        <f t="shared" si="64"/>
        <v>28.406907306075979</v>
      </c>
      <c r="CG25" s="23">
        <f t="shared" si="65"/>
        <v>4.8859000678387359</v>
      </c>
    </row>
    <row r="26" spans="1:85" x14ac:dyDescent="0.2">
      <c r="A26" s="31">
        <v>9</v>
      </c>
      <c r="U26" s="8">
        <v>0.17539672338276532</v>
      </c>
      <c r="V26" s="16">
        <f>(U26*$T$17)/(Parameters!B23*POWER(Parameters!$B$8, $C$17))</f>
        <v>0.16354130342135564</v>
      </c>
      <c r="W26" s="6">
        <f t="shared" si="40"/>
        <v>6284270178.3111687</v>
      </c>
      <c r="X26" s="8">
        <f>Parameters!D23</f>
        <v>0.21757858127224192</v>
      </c>
      <c r="Y26" s="8">
        <f>(X26*$T$17)/(Parameters!B23*POWER(Parameters!$B$8, $C$17))</f>
        <v>0.2028720040577921</v>
      </c>
      <c r="Z26" s="6">
        <f t="shared" si="41"/>
        <v>7795599389.5308847</v>
      </c>
      <c r="AC26" s="6">
        <f>Parameters!B23*POWER(Parameters!$B$8, $C$17)</f>
        <v>38426195993.559341</v>
      </c>
      <c r="AD26" s="6">
        <f>$AD$3*Parameters!E23</f>
        <v>201805278.5970754</v>
      </c>
      <c r="AE26" s="6">
        <f t="shared" si="42"/>
        <v>32343731093.845249</v>
      </c>
      <c r="AF26" s="6">
        <f t="shared" si="35"/>
        <v>32141925815.248173</v>
      </c>
      <c r="AG26" s="6">
        <f t="shared" si="36"/>
        <v>30832401882.625534</v>
      </c>
      <c r="AH26" s="6">
        <f t="shared" si="37"/>
        <v>30630596604.028458</v>
      </c>
      <c r="AI26" s="8">
        <f t="shared" si="43"/>
        <v>337517.81</v>
      </c>
      <c r="AJ26" s="6">
        <f t="shared" si="38"/>
        <v>95828.220424413303</v>
      </c>
      <c r="AK26" s="6">
        <f t="shared" si="44"/>
        <v>95230.310410132646</v>
      </c>
      <c r="AL26" s="6">
        <f t="shared" si="45"/>
        <v>91350.444240632918</v>
      </c>
      <c r="AM26" s="6">
        <f t="shared" si="46"/>
        <v>90752.534226352262</v>
      </c>
      <c r="AN26" s="19">
        <f t="shared" si="39"/>
        <v>3.6512419430123089</v>
      </c>
      <c r="AO26" s="19">
        <f t="shared" si="47"/>
        <v>21.645466298861571</v>
      </c>
      <c r="AP26" s="19">
        <f t="shared" si="48"/>
        <v>0.99998956466064415</v>
      </c>
      <c r="AQ26" s="19">
        <f t="shared" si="49"/>
        <v>4.9814934231682448</v>
      </c>
      <c r="AR26" s="23">
        <f t="shared" si="50"/>
        <v>3.6488016882426537</v>
      </c>
      <c r="AS26" s="23">
        <f t="shared" si="51"/>
        <v>20.677021228267868</v>
      </c>
      <c r="AT26" s="23">
        <f t="shared" si="52"/>
        <v>0.99998905314573661</v>
      </c>
      <c r="AU26" s="23">
        <f t="shared" si="53"/>
        <v>4.9607106636840292</v>
      </c>
      <c r="AW26">
        <v>1.9108223211518931</v>
      </c>
      <c r="BA26">
        <f t="shared" si="54"/>
        <v>2.2319259448217017</v>
      </c>
      <c r="BE26">
        <v>1.9101836791896882</v>
      </c>
      <c r="BI26">
        <f t="shared" si="55"/>
        <v>2.2272652881244364</v>
      </c>
      <c r="BM26">
        <f t="shared" si="56"/>
        <v>1.9107392548124977</v>
      </c>
      <c r="BQ26">
        <f t="shared" si="57"/>
        <v>2.2313169205531795</v>
      </c>
      <c r="BU26">
        <f t="shared" si="58"/>
        <v>1.9100954034690769</v>
      </c>
      <c r="BY26">
        <f t="shared" si="59"/>
        <v>2.2266249709747363</v>
      </c>
      <c r="CB26" s="19">
        <f t="shared" si="60"/>
        <v>3.6509244998814188</v>
      </c>
      <c r="CC26" s="19">
        <f t="shared" si="61"/>
        <v>30.865569766793666</v>
      </c>
      <c r="CD26" s="19">
        <f t="shared" si="62"/>
        <v>4.9787751999469245</v>
      </c>
      <c r="CE26" s="23">
        <f t="shared" si="63"/>
        <v>3.6484644503536954</v>
      </c>
      <c r="CF26" s="23">
        <f t="shared" si="64"/>
        <v>29.277157027647284</v>
      </c>
      <c r="CG26" s="23">
        <f t="shared" si="65"/>
        <v>4.9578587613682457</v>
      </c>
    </row>
    <row r="27" spans="1:85" x14ac:dyDescent="0.2">
      <c r="A27" s="31">
        <v>10</v>
      </c>
      <c r="U27" s="8">
        <v>0.31542540330404345</v>
      </c>
      <c r="V27" s="16">
        <f>(U27*$T$17)/(Parameters!B24*POWER(Parameters!$B$8, $C$17))</f>
        <v>0.16899268020206751</v>
      </c>
      <c r="W27" s="6">
        <f t="shared" si="40"/>
        <v>11301342563.507366</v>
      </c>
      <c r="X27" s="8">
        <f>Parameters!D24</f>
        <v>0.43275574250579357</v>
      </c>
      <c r="Y27" s="8">
        <f>(X27*$T$17)/(Parameters!B24*POWER(Parameters!$B$8, $C$17))</f>
        <v>0.23185371892319095</v>
      </c>
      <c r="Z27" s="6">
        <f t="shared" si="41"/>
        <v>15505158560.956856</v>
      </c>
      <c r="AC27" s="6">
        <f>Parameters!B24*POWER(Parameters!$B$8, $C$17)</f>
        <v>66874745994.880684</v>
      </c>
      <c r="AD27" s="6">
        <f>$AD$3*Parameters!E24</f>
        <v>100902639.2985377</v>
      </c>
      <c r="AE27" s="6">
        <f t="shared" si="42"/>
        <v>55674306070.67186</v>
      </c>
      <c r="AF27" s="6">
        <f t="shared" si="35"/>
        <v>55573403431.373322</v>
      </c>
      <c r="AG27" s="6">
        <f t="shared" si="36"/>
        <v>51470490073.222366</v>
      </c>
      <c r="AH27" s="6">
        <f t="shared" si="37"/>
        <v>51369587433.923828</v>
      </c>
      <c r="AI27" s="8">
        <f t="shared" si="43"/>
        <v>337517.81</v>
      </c>
      <c r="AJ27" s="6">
        <f t="shared" si="38"/>
        <v>164952.20228725666</v>
      </c>
      <c r="AK27" s="6">
        <f t="shared" si="44"/>
        <v>164653.24728011634</v>
      </c>
      <c r="AL27" s="6">
        <f t="shared" si="45"/>
        <v>152497.10844361773</v>
      </c>
      <c r="AM27" s="6">
        <f t="shared" si="46"/>
        <v>152198.15343647741</v>
      </c>
      <c r="AN27" s="19">
        <f t="shared" si="39"/>
        <v>3.6769097447645738</v>
      </c>
      <c r="AO27" s="19">
        <f t="shared" si="47"/>
        <v>24.212246474088062</v>
      </c>
      <c r="AP27" s="19">
        <f t="shared" si="48"/>
        <v>0.99999393763777544</v>
      </c>
      <c r="AQ27" s="19">
        <f t="shared" si="49"/>
        <v>5.2173581182130899</v>
      </c>
      <c r="AR27" s="23">
        <f t="shared" si="50"/>
        <v>3.6734195265285861</v>
      </c>
      <c r="AS27" s="23">
        <f t="shared" si="51"/>
        <v>23.138805056861102</v>
      </c>
      <c r="AT27" s="23">
        <f t="shared" si="52"/>
        <v>0.99999344249861388</v>
      </c>
      <c r="AU27" s="23">
        <f t="shared" si="53"/>
        <v>5.1832616089360073</v>
      </c>
      <c r="AW27">
        <v>1.9175269867108973</v>
      </c>
      <c r="BA27">
        <f t="shared" si="54"/>
        <v>2.2841536984653836</v>
      </c>
      <c r="BE27">
        <v>1.9166166874282886</v>
      </c>
      <c r="BI27">
        <f t="shared" si="55"/>
        <v>2.2766777569379482</v>
      </c>
      <c r="BM27">
        <f t="shared" si="56"/>
        <v>1.9175061676205563</v>
      </c>
      <c r="BQ27">
        <f t="shared" si="57"/>
        <v>2.2839812390338388</v>
      </c>
      <c r="BU27">
        <f t="shared" si="58"/>
        <v>1.91659369047059</v>
      </c>
      <c r="BY27">
        <f t="shared" si="59"/>
        <v>2.2764905849428159</v>
      </c>
      <c r="CB27" s="19">
        <f t="shared" si="60"/>
        <v>3.6768299028628726</v>
      </c>
      <c r="CC27" s="19">
        <f t="shared" si="61"/>
        <v>33.456110064939047</v>
      </c>
      <c r="CD27" s="19">
        <f t="shared" si="62"/>
        <v>5.2165703002585486</v>
      </c>
      <c r="CE27" s="23">
        <f t="shared" si="63"/>
        <v>3.6733313743516756</v>
      </c>
      <c r="CF27" s="23">
        <f t="shared" si="64"/>
        <v>31.763849427445301</v>
      </c>
      <c r="CG27" s="23">
        <f t="shared" si="65"/>
        <v>5.1824093833332849</v>
      </c>
    </row>
    <row r="29" spans="1:85" x14ac:dyDescent="0.2">
      <c r="A29" s="2" t="s">
        <v>90</v>
      </c>
      <c r="B29" s="51" t="s">
        <v>39</v>
      </c>
      <c r="C29" s="51"/>
      <c r="D29" s="51" t="s">
        <v>47</v>
      </c>
      <c r="E29" s="51"/>
      <c r="F29" s="51"/>
      <c r="G29" s="51"/>
      <c r="H29" s="52"/>
      <c r="I29" s="51"/>
      <c r="J29" s="51"/>
      <c r="K29" s="51"/>
      <c r="L29" s="51"/>
      <c r="M29" s="51"/>
      <c r="N29" s="51"/>
      <c r="O29" s="15"/>
      <c r="P29" s="15"/>
      <c r="Q29" s="15"/>
      <c r="R29" s="15"/>
      <c r="S29" s="15"/>
      <c r="T29" s="15"/>
      <c r="U29" s="51" t="s">
        <v>157</v>
      </c>
      <c r="V29" s="51"/>
      <c r="W29" s="51"/>
      <c r="X29" s="51" t="s">
        <v>159</v>
      </c>
      <c r="Y29" s="51"/>
      <c r="Z29" s="51"/>
      <c r="AA29" s="51" t="s">
        <v>91</v>
      </c>
      <c r="AB29" s="51"/>
      <c r="AC29" s="51" t="s">
        <v>48</v>
      </c>
      <c r="AD29" s="51"/>
      <c r="AE29" s="51" t="s">
        <v>137</v>
      </c>
      <c r="AF29" s="51"/>
      <c r="AG29" s="51" t="s">
        <v>87</v>
      </c>
      <c r="AH29" s="51"/>
      <c r="AI29" s="2" t="s">
        <v>104</v>
      </c>
      <c r="AJ29" s="51" t="s">
        <v>162</v>
      </c>
      <c r="AK29" s="51"/>
      <c r="AL29" s="51" t="s">
        <v>93</v>
      </c>
      <c r="AM29" s="51"/>
      <c r="AN29" s="51" t="s">
        <v>164</v>
      </c>
      <c r="AO29" s="51"/>
      <c r="AP29" s="51"/>
      <c r="AQ29" s="51"/>
      <c r="AR29" s="51" t="s">
        <v>165</v>
      </c>
      <c r="AS29" s="51"/>
      <c r="AT29" s="51"/>
      <c r="AU29" s="51"/>
      <c r="AV29" s="51" t="s">
        <v>166</v>
      </c>
      <c r="AW29" s="51"/>
      <c r="AX29" s="51"/>
      <c r="AY29" s="51"/>
      <c r="AZ29" s="51" t="s">
        <v>167</v>
      </c>
      <c r="BA29" s="51"/>
      <c r="BB29" s="51"/>
      <c r="BC29" s="51"/>
      <c r="BD29" s="51" t="s">
        <v>168</v>
      </c>
      <c r="BE29" s="51"/>
      <c r="BF29" s="51"/>
      <c r="BG29" s="51"/>
      <c r="BH29" s="51" t="s">
        <v>169</v>
      </c>
      <c r="BI29" s="51"/>
      <c r="BJ29" s="51"/>
      <c r="BK29" s="51"/>
      <c r="BL29" s="51" t="s">
        <v>171</v>
      </c>
      <c r="BM29" s="51"/>
      <c r="BN29" s="51"/>
      <c r="BO29" s="51"/>
      <c r="BP29" s="51" t="s">
        <v>170</v>
      </c>
      <c r="BQ29" s="51"/>
      <c r="BR29" s="51"/>
      <c r="BS29" s="51"/>
      <c r="BT29" s="51" t="s">
        <v>173</v>
      </c>
      <c r="BU29" s="51"/>
      <c r="BV29" s="51"/>
      <c r="BW29" s="51"/>
      <c r="BX29" s="51" t="s">
        <v>174</v>
      </c>
      <c r="BY29" s="51"/>
      <c r="BZ29" s="51"/>
      <c r="CA29" s="51"/>
      <c r="CB29" s="51" t="s">
        <v>175</v>
      </c>
      <c r="CC29" s="51"/>
      <c r="CD29" s="51"/>
      <c r="CE29" s="51" t="s">
        <v>176</v>
      </c>
      <c r="CF29" s="51"/>
      <c r="CG29" s="51"/>
    </row>
    <row r="30" spans="1:85" x14ac:dyDescent="0.2">
      <c r="A30" s="9"/>
      <c r="B30" s="9" t="s">
        <v>39</v>
      </c>
      <c r="C30" s="9" t="s">
        <v>52</v>
      </c>
      <c r="D30" s="9" t="s">
        <v>53</v>
      </c>
      <c r="E30" s="9" t="s">
        <v>54</v>
      </c>
      <c r="F30" s="9" t="s">
        <v>55</v>
      </c>
      <c r="G30" s="9" t="s">
        <v>56</v>
      </c>
      <c r="H30" s="9" t="s">
        <v>57</v>
      </c>
      <c r="I30" s="9" t="s">
        <v>94</v>
      </c>
      <c r="J30" s="9" t="s">
        <v>59</v>
      </c>
      <c r="K30" s="9" t="s">
        <v>60</v>
      </c>
      <c r="L30" s="9" t="s">
        <v>61</v>
      </c>
      <c r="M30" s="9" t="s">
        <v>62</v>
      </c>
      <c r="N30" s="9" t="s">
        <v>95</v>
      </c>
      <c r="O30" s="9" t="s">
        <v>58</v>
      </c>
      <c r="P30" s="9" t="s">
        <v>59</v>
      </c>
      <c r="Q30" s="9" t="s">
        <v>60</v>
      </c>
      <c r="R30" s="9" t="s">
        <v>61</v>
      </c>
      <c r="S30" s="9" t="s">
        <v>62</v>
      </c>
      <c r="T30" s="11" t="s">
        <v>63</v>
      </c>
      <c r="U30" s="9" t="s">
        <v>64</v>
      </c>
      <c r="V30" s="9" t="s">
        <v>158</v>
      </c>
      <c r="W30" s="9" t="s">
        <v>66</v>
      </c>
      <c r="X30" s="9" t="s">
        <v>64</v>
      </c>
      <c r="Y30" s="9" t="s">
        <v>158</v>
      </c>
      <c r="Z30" s="9" t="s">
        <v>66</v>
      </c>
      <c r="AA30" s="9" t="s">
        <v>98</v>
      </c>
      <c r="AB30" s="9" t="s">
        <v>99</v>
      </c>
      <c r="AC30" s="9" t="s">
        <v>100</v>
      </c>
      <c r="AD30" s="9" t="s">
        <v>68</v>
      </c>
      <c r="AE30" s="9" t="s">
        <v>101</v>
      </c>
      <c r="AF30" s="9" t="s">
        <v>106</v>
      </c>
      <c r="AG30" s="9" t="s">
        <v>101</v>
      </c>
      <c r="AH30" s="9" t="s">
        <v>106</v>
      </c>
      <c r="AI30" s="9"/>
      <c r="AJ30" s="9" t="s">
        <v>103</v>
      </c>
      <c r="AK30" s="9" t="s">
        <v>70</v>
      </c>
      <c r="AL30" s="9" t="s">
        <v>103</v>
      </c>
      <c r="AM30" s="9" t="s">
        <v>70</v>
      </c>
      <c r="AN30" s="9" t="s">
        <v>163</v>
      </c>
      <c r="AO30" s="9" t="s">
        <v>178</v>
      </c>
      <c r="AP30" s="9" t="s">
        <v>179</v>
      </c>
      <c r="AQ30" s="9" t="s">
        <v>250</v>
      </c>
      <c r="AR30" s="9" t="s">
        <v>163</v>
      </c>
      <c r="AS30" s="9" t="s">
        <v>185</v>
      </c>
      <c r="AT30" s="40" t="s">
        <v>179</v>
      </c>
      <c r="AU30" s="9" t="s">
        <v>250</v>
      </c>
      <c r="AV30" s="17" t="s">
        <v>49</v>
      </c>
      <c r="AW30" s="9" t="s">
        <v>72</v>
      </c>
      <c r="AX30" s="9" t="s">
        <v>50</v>
      </c>
      <c r="AY30" s="9" t="s">
        <v>51</v>
      </c>
      <c r="AZ30" s="17" t="s">
        <v>49</v>
      </c>
      <c r="BA30" s="9" t="s">
        <v>72</v>
      </c>
      <c r="BB30" s="9" t="s">
        <v>50</v>
      </c>
      <c r="BC30" s="9" t="s">
        <v>51</v>
      </c>
      <c r="BD30" s="9" t="s">
        <v>49</v>
      </c>
      <c r="BE30" s="9" t="s">
        <v>72</v>
      </c>
      <c r="BF30" s="9" t="s">
        <v>50</v>
      </c>
      <c r="BG30" s="9" t="s">
        <v>51</v>
      </c>
      <c r="BH30" s="9" t="s">
        <v>49</v>
      </c>
      <c r="BI30" s="9" t="s">
        <v>72</v>
      </c>
      <c r="BJ30" s="9" t="s">
        <v>50</v>
      </c>
      <c r="BK30" s="9" t="s">
        <v>51</v>
      </c>
      <c r="BL30" s="17" t="s">
        <v>49</v>
      </c>
      <c r="BM30" s="9" t="s">
        <v>72</v>
      </c>
      <c r="BN30" s="9" t="s">
        <v>50</v>
      </c>
      <c r="BO30" s="9" t="s">
        <v>51</v>
      </c>
      <c r="BP30" s="17" t="s">
        <v>49</v>
      </c>
      <c r="BQ30" s="9" t="s">
        <v>72</v>
      </c>
      <c r="BR30" s="9" t="s">
        <v>50</v>
      </c>
      <c r="BS30" s="9" t="s">
        <v>51</v>
      </c>
      <c r="BT30" s="9" t="s">
        <v>49</v>
      </c>
      <c r="BU30" s="9" t="s">
        <v>72</v>
      </c>
      <c r="BV30" s="9" t="s">
        <v>50</v>
      </c>
      <c r="BW30" s="9" t="s">
        <v>51</v>
      </c>
      <c r="BX30" s="9" t="s">
        <v>49</v>
      </c>
      <c r="BY30" s="9" t="s">
        <v>72</v>
      </c>
      <c r="BZ30" s="9" t="s">
        <v>50</v>
      </c>
      <c r="CA30" s="9" t="s">
        <v>51</v>
      </c>
      <c r="CB30" s="9" t="s">
        <v>177</v>
      </c>
      <c r="CC30" s="9" t="s">
        <v>139</v>
      </c>
      <c r="CD30" s="9" t="s">
        <v>250</v>
      </c>
      <c r="CE30" s="9" t="s">
        <v>177</v>
      </c>
      <c r="CF30" s="9" t="s">
        <v>185</v>
      </c>
      <c r="CG30" s="9" t="s">
        <v>250</v>
      </c>
    </row>
    <row r="31" spans="1:85" x14ac:dyDescent="0.2">
      <c r="A31" t="s">
        <v>77</v>
      </c>
      <c r="B31">
        <v>2078</v>
      </c>
      <c r="C31">
        <v>54</v>
      </c>
      <c r="D31" s="6">
        <f>Parameters!$B$4</f>
        <v>27012.440000000002</v>
      </c>
      <c r="E31">
        <f>Parameters!$B$5</f>
        <v>20778.68</v>
      </c>
      <c r="F31" s="5">
        <f>Parameters!$B$8</f>
        <v>1.01088</v>
      </c>
      <c r="G31" s="6">
        <f>D31*POWER(F31,C31)</f>
        <v>48455.429049392646</v>
      </c>
      <c r="H31" s="6">
        <f>E31*POWER(F31,C31)</f>
        <v>37273.19170278708</v>
      </c>
      <c r="I31" s="8">
        <f>Parameters!$B$3*Parameters!B42</f>
        <v>557660.4</v>
      </c>
      <c r="J31" s="8">
        <f>I31*Parameters!$B$10</f>
        <v>234217.36799999999</v>
      </c>
      <c r="K31" s="8">
        <f>I31*Parameters!$B$9</f>
        <v>323443.03200000001</v>
      </c>
      <c r="L31" s="8">
        <f>J31*G31</f>
        <v>11349103057.259487</v>
      </c>
      <c r="M31" s="8">
        <f>K31*H31</f>
        <v>12055754136.666697</v>
      </c>
      <c r="N31" s="8">
        <f>M31+L31</f>
        <v>23404857193.926186</v>
      </c>
      <c r="O31" s="8">
        <f>Parameters!B42</f>
        <v>2239600</v>
      </c>
      <c r="P31" s="8">
        <f>O31*Parameters!$B$10</f>
        <v>940632</v>
      </c>
      <c r="Q31" s="8">
        <f>O31*Parameters!$B$9</f>
        <v>1298968</v>
      </c>
      <c r="R31" s="8">
        <f>P31*G31</f>
        <v>45578727137.588303</v>
      </c>
      <c r="S31" s="8">
        <f>Q31*H31</f>
        <v>48416683279.785927</v>
      </c>
      <c r="T31" s="14">
        <f>S31+R31</f>
        <v>93995410417.374237</v>
      </c>
      <c r="W31" s="6">
        <f>SUM(W32:W41)</f>
        <v>93995410417.374237</v>
      </c>
      <c r="Z31" s="6">
        <f>SUM(Z32:Z41)</f>
        <v>93995410417.374237</v>
      </c>
      <c r="AA31" s="3">
        <f>Parameters!C42*Parameters!B2</f>
        <v>3564796.4</v>
      </c>
      <c r="AB31" s="3">
        <f>AA31+I31</f>
        <v>4122456.8</v>
      </c>
      <c r="AC31" s="6">
        <f>SUM(AC32:AC41)</f>
        <v>348713038915.21021</v>
      </c>
      <c r="AD31" s="6">
        <f>N31</f>
        <v>23404857193.926186</v>
      </c>
      <c r="AE31" s="6">
        <f>AC31+AD31-W31</f>
        <v>278122485691.76221</v>
      </c>
      <c r="AF31" s="6">
        <f>AC31-W31</f>
        <v>254717628497.83597</v>
      </c>
      <c r="AG31" s="6">
        <f>AC31+AD31-Z31</f>
        <v>278122485691.76221</v>
      </c>
      <c r="AH31" s="6">
        <f>AC31-Z31</f>
        <v>254717628497.83597</v>
      </c>
      <c r="AI31" s="6"/>
      <c r="AJ31" s="6"/>
      <c r="AK31" s="6"/>
      <c r="AL31" s="6"/>
      <c r="AM31" s="6"/>
      <c r="AP31" t="s">
        <v>147</v>
      </c>
      <c r="AQ31" t="s">
        <v>147</v>
      </c>
      <c r="AT31" s="33" t="s">
        <v>147</v>
      </c>
      <c r="AU31" t="s">
        <v>147</v>
      </c>
      <c r="AV31" s="18">
        <f>SUM(AO32:AO41)</f>
        <v>180.4243716922883</v>
      </c>
      <c r="AW31" t="s">
        <v>50</v>
      </c>
      <c r="AX31">
        <f>SUM(AW32:AW41)</f>
        <v>19.013335987304522</v>
      </c>
      <c r="AY31" s="8">
        <f>MIN(AN33:AN41)</f>
        <v>3.5595505898023543</v>
      </c>
      <c r="AZ31" s="16">
        <f>SUM(AQ32:AQ41)</f>
        <v>47.283746407919097</v>
      </c>
      <c r="BA31" s="16"/>
      <c r="BB31" s="16">
        <f>SUM(BA32:BA41)</f>
        <v>21.732645133779037</v>
      </c>
      <c r="BC31" s="16">
        <f>MIN(AQ33:AQ41)</f>
        <v>4.3374828136096664</v>
      </c>
      <c r="BD31" s="23">
        <f>SUM(AS32:AS41)</f>
        <v>176.65527074048447</v>
      </c>
      <c r="BF31" s="23">
        <f>SUM(BE32:BE41)</f>
        <v>19.022525110372246</v>
      </c>
      <c r="BG31" s="23">
        <f>MIN(AR33:AR41)</f>
        <v>3.5675145539655273</v>
      </c>
      <c r="BH31" s="23">
        <f>SUM(AU32:AU41)</f>
        <v>47.493778139815689</v>
      </c>
      <c r="BJ31">
        <f>SUM(BI31:BI41)</f>
        <v>21.782790830940595</v>
      </c>
      <c r="BK31" s="23">
        <f>MIN(AU33:AU41)</f>
        <v>4.3845549761207057</v>
      </c>
      <c r="BL31" s="18">
        <f>SUM(CB32:CB41)</f>
        <v>35.892667268730676</v>
      </c>
      <c r="BN31">
        <f>SUM(BM32:BM41)</f>
        <v>18.943815192694075</v>
      </c>
      <c r="BO31" s="16">
        <f>MIN(CB33:CB41)</f>
        <v>3.5148824153814044</v>
      </c>
      <c r="BP31" s="16">
        <f>SUM(CD32:CD41)</f>
        <v>46.021540364353299</v>
      </c>
      <c r="BQ31" s="16"/>
      <c r="BR31" s="16">
        <f>SUM(BQ32:BQ41)</f>
        <v>21.419230342577798</v>
      </c>
      <c r="BS31" s="16">
        <f>MIN(CD33:CD41)</f>
        <v>4.095548725329782</v>
      </c>
      <c r="BT31" s="23">
        <f>SUM(CE32:CE41)</f>
        <v>35.969942331185834</v>
      </c>
      <c r="BV31">
        <f>SUM(BU32:BU41)</f>
        <v>18.964541217947044</v>
      </c>
      <c r="BW31" s="23">
        <f>MIN(CE33:CE41)</f>
        <v>3.5302079086335398</v>
      </c>
      <c r="BX31" s="23">
        <f>SUM(CG32:CG41)</f>
        <v>46.391120541448458</v>
      </c>
      <c r="BZ31">
        <f>SUM(BY31:BY41)</f>
        <v>21.511412575479739</v>
      </c>
      <c r="CA31" s="23">
        <f>MIN(CG33:CG41)</f>
        <v>4.1746687558311262</v>
      </c>
      <c r="CB31">
        <f>Parameters!AO32</f>
        <v>0</v>
      </c>
    </row>
    <row r="32" spans="1:85" x14ac:dyDescent="0.2">
      <c r="A32" s="31">
        <v>1</v>
      </c>
      <c r="D32" s="6"/>
      <c r="F32" s="5"/>
      <c r="G32" s="6"/>
      <c r="H32" s="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16">
        <f>Parameters!C15</f>
        <v>3.6096393698449797E-3</v>
      </c>
      <c r="V32" s="16">
        <f>(U32*$T$31)/(Parameters!B15*POWER(Parameters!$B$8,$C$31))</f>
        <v>0.23699245745170949</v>
      </c>
      <c r="W32" s="6">
        <f>$T$31*U32</f>
        <v>339289534.027291</v>
      </c>
      <c r="X32" s="8">
        <f>Parameters!D15</f>
        <v>0</v>
      </c>
      <c r="Y32" s="8">
        <f>(X32*$T$31)/(Parameters!B15*POWER(Parameters!$B$8,$C$31))</f>
        <v>0</v>
      </c>
      <c r="Z32" s="6">
        <f>$T$31*X32</f>
        <v>0</v>
      </c>
      <c r="AA32" s="3"/>
      <c r="AB32" s="3"/>
      <c r="AC32" s="6">
        <f>Parameters!B15*POWER(Parameters!$B$8,$C$31)</f>
        <v>1431646971.7034178</v>
      </c>
      <c r="AD32" s="6">
        <f>$AD$31*Parameters!E15</f>
        <v>4255428580.7138519</v>
      </c>
      <c r="AE32" s="6">
        <f>AC32+AD32-W32</f>
        <v>5347786018.3899784</v>
      </c>
      <c r="AF32" s="6">
        <f t="shared" ref="AF32:AF41" si="66">AC32-W32</f>
        <v>1092357437.6761267</v>
      </c>
      <c r="AG32" s="6">
        <f t="shared" ref="AG32:AG41" si="67">AC32+AD32-Z32</f>
        <v>5687075552.4172697</v>
      </c>
      <c r="AH32" s="6">
        <f>AC32-Z32</f>
        <v>1431646971.7034178</v>
      </c>
      <c r="AI32" s="8">
        <f>($AA$31+$I$31)/10</f>
        <v>412245.68</v>
      </c>
      <c r="AJ32" s="6">
        <f t="shared" ref="AJ32:AJ41" si="68">AE32/AI32</f>
        <v>12972.327613936375</v>
      </c>
      <c r="AK32" s="6">
        <f>AF32/AI32</f>
        <v>2649.7729161798052</v>
      </c>
      <c r="AL32" s="6">
        <f>AG32/AI32</f>
        <v>13795.355120318713</v>
      </c>
      <c r="AM32" s="6">
        <f>AH32/AI32</f>
        <v>3472.8004225621426</v>
      </c>
      <c r="AN32" s="19">
        <f t="shared" ref="AN32:AN41" si="69">(POWER(AJ32, -0.26) - 1)/-0.26</f>
        <v>3.5183289019951216</v>
      </c>
      <c r="AO32" s="19">
        <f>(AN32-$AN$18)*100</f>
        <v>8.3541621971428448</v>
      </c>
      <c r="AP32" s="19">
        <f>(POWER(AJ32, -1) - 1)/-1</f>
        <v>0.99992291283185553</v>
      </c>
      <c r="AQ32" s="19">
        <f>LOG(AJ32)</f>
        <v>4.1130179081730063</v>
      </c>
      <c r="AR32" s="23">
        <f>(POWER(AL32, -0.26) - 1)/-0.26</f>
        <v>3.5235302691305184</v>
      </c>
      <c r="AS32" s="23">
        <f>(AR32-$AR$18)*100</f>
        <v>8.1498793170543316</v>
      </c>
      <c r="AT32" s="23">
        <f>(POWER(AL32, -1) - 1)/-1</f>
        <v>0.99992751183341944</v>
      </c>
      <c r="AU32" s="23">
        <f>LOG(AL32)</f>
        <v>4.1397328845766941</v>
      </c>
      <c r="AW32" cm="1">
        <f t="array" ref="AW32:AW41">SQRT(AN32:AN41)</f>
        <v>1.8757209019454684</v>
      </c>
      <c r="BA32">
        <f>SQRT(AQ32)</f>
        <v>2.0280576688479561</v>
      </c>
      <c r="BE32" cm="1">
        <f t="array" ref="BE32:BE41">SQRT(AR32:AR41)</f>
        <v>1.8771068880408803</v>
      </c>
      <c r="BI32">
        <f>SQRT(AU32)</f>
        <v>2.0346333538445434</v>
      </c>
      <c r="BM32">
        <f>SQRT(CB32)</f>
        <v>1.8304951035254535</v>
      </c>
      <c r="BQ32">
        <f>SQRT(CD32)</f>
        <v>1.8501915189450322</v>
      </c>
      <c r="BU32">
        <f>SQRT(CE32)</f>
        <v>1.839662505100935</v>
      </c>
      <c r="BY32">
        <f>SQRT(CG32)</f>
        <v>1.8816694251846078</v>
      </c>
      <c r="CB32" s="19">
        <f>(POWER(AK32, -0.26) - 1)/-0.26</f>
        <v>3.3507123240306607</v>
      </c>
      <c r="CC32" s="19">
        <f>(CB32-$CB$4)*100</f>
        <v>0.84435218171785564</v>
      </c>
      <c r="CD32" s="19">
        <f>LOG(AK32)</f>
        <v>3.4232086567761257</v>
      </c>
      <c r="CE32" s="23">
        <f>(POWER(AM32, -0.26) - 1)/-0.26</f>
        <v>3.3843581326742473</v>
      </c>
      <c r="CF32" s="23">
        <f>(CE32-$CE$4)*100</f>
        <v>2.8665252597024793</v>
      </c>
      <c r="CG32" s="23">
        <f>LOG(AM32)</f>
        <v>3.5406798256745722</v>
      </c>
    </row>
    <row r="33" spans="1:85" x14ac:dyDescent="0.2">
      <c r="A33" s="31">
        <v>2</v>
      </c>
      <c r="D33" s="6"/>
      <c r="F33" s="5"/>
      <c r="G33" s="6"/>
      <c r="H33" s="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16">
        <f>Parameters!C16</f>
        <v>1.4401036406566694E-2</v>
      </c>
      <c r="V33" s="16">
        <f>(U33*$T$31)/(Parameters!B16*POWER(Parameters!$B$8,$C$31))</f>
        <v>0.20855336255750434</v>
      </c>
      <c r="W33" s="6">
        <f t="shared" ref="W33:W41" si="70">$T$31*U33</f>
        <v>1353631327.4707847</v>
      </c>
      <c r="X33" s="8">
        <f>Parameters!D16</f>
        <v>3.4800777499171295E-3</v>
      </c>
      <c r="Y33" s="8">
        <f>(X33*$T$31)/(Parameters!B16*POWER(Parameters!$B$8,$C$31))</f>
        <v>5.0397894722064837E-2</v>
      </c>
      <c r="Z33" s="6">
        <f t="shared" ref="Z33:Z41" si="71">$T$31*X33</f>
        <v>327111336.38783288</v>
      </c>
      <c r="AA33" s="3"/>
      <c r="AB33" s="3"/>
      <c r="AC33" s="6">
        <f>Parameters!B16*POWER(Parameters!$B$8,$C$31)</f>
        <v>6490575413.7507534</v>
      </c>
      <c r="AD33" s="6">
        <f>$AD$31*Parameters!E16</f>
        <v>3829885722.6424665</v>
      </c>
      <c r="AE33" s="6">
        <f t="shared" ref="AE33:AE41" si="72">AC33+AD33-W33</f>
        <v>8966829808.9224339</v>
      </c>
      <c r="AF33" s="6">
        <f t="shared" si="66"/>
        <v>5136944086.2799683</v>
      </c>
      <c r="AG33" s="6">
        <f t="shared" si="67"/>
        <v>9993349800.0053864</v>
      </c>
      <c r="AH33" s="6">
        <f t="shared" ref="AH33:AH41" si="73">AC33-Z33</f>
        <v>6163464077.3629208</v>
      </c>
      <c r="AI33" s="8">
        <f t="shared" ref="AI33:AI41" si="74">($AA$31+$I$31)/10</f>
        <v>412245.68</v>
      </c>
      <c r="AJ33" s="6">
        <f t="shared" si="68"/>
        <v>21751.179560990025</v>
      </c>
      <c r="AK33" s="6">
        <f t="shared" ref="AK33:AK41" si="75">AF33/AI33</f>
        <v>12460.880333009114</v>
      </c>
      <c r="AL33" s="6">
        <f t="shared" ref="AL33:AL41" si="76">AG33/AI33</f>
        <v>24241.248082952348</v>
      </c>
      <c r="AM33" s="6">
        <f t="shared" ref="AM33:AM41" si="77">AH33/AI33</f>
        <v>14950.948854971435</v>
      </c>
      <c r="AN33" s="19">
        <f t="shared" si="69"/>
        <v>3.5595505898023543</v>
      </c>
      <c r="AO33" s="19">
        <f t="shared" ref="AO33:AO41" si="78">(AN33-$AN$18)*100</f>
        <v>12.476330977866112</v>
      </c>
      <c r="AP33" s="19">
        <f t="shared" ref="AP33:AP41" si="79">(POWER(AJ33, -1) - 1)/-1</f>
        <v>0.99995402548182755</v>
      </c>
      <c r="AQ33" s="19">
        <f t="shared" ref="AQ33:AQ41" si="80">LOG(AJ33)</f>
        <v>4.3374828136096664</v>
      </c>
      <c r="AR33" s="23">
        <f t="shared" ref="AR33:AR41" si="81">(POWER(AL33, -0.26) - 1)/-0.26</f>
        <v>3.5675145539655273</v>
      </c>
      <c r="AS33" s="23">
        <f t="shared" ref="AS33:AS41" si="82">(AR33-$AR$18)*100</f>
        <v>12.548307800555225</v>
      </c>
      <c r="AT33" s="23">
        <f t="shared" ref="AT33:AT41" si="83">(POWER(AL33, -1) - 1)/-1</f>
        <v>0.99995874799859408</v>
      </c>
      <c r="AU33" s="23">
        <f t="shared" ref="AU33:AU41" si="84">LOG(AL33)</f>
        <v>4.3845549761207057</v>
      </c>
      <c r="AW33">
        <v>1.8866771291883395</v>
      </c>
      <c r="BA33">
        <f t="shared" ref="BA33:BA41" si="85">SQRT(AQ33)</f>
        <v>2.082662433907537</v>
      </c>
      <c r="BE33">
        <v>1.8887865294854067</v>
      </c>
      <c r="BI33">
        <f t="shared" ref="BI33:BI41" si="86">SQRT(AU33)</f>
        <v>2.0939328967568911</v>
      </c>
      <c r="BM33">
        <f t="shared" ref="BM33:BM41" si="87">SQRT(CB33)</f>
        <v>1.8748019669771536</v>
      </c>
      <c r="BQ33">
        <f t="shared" ref="BQ33:BQ41" si="88">SQRT(CD33)</f>
        <v>2.0237462107017721</v>
      </c>
      <c r="BU33">
        <f t="shared" ref="BU33:BU41" si="89">SQRT(CE33)</f>
        <v>1.8788847512909193</v>
      </c>
      <c r="BY33">
        <f t="shared" ref="BY33:BY41" si="90">SQRT(CG33)</f>
        <v>2.0432006156594427</v>
      </c>
      <c r="CB33" s="19">
        <f t="shared" ref="CB33:CB41" si="91">(POWER(AK33, -0.26) - 1)/-0.26</f>
        <v>3.5148824153814044</v>
      </c>
      <c r="CC33" s="19">
        <f t="shared" ref="CC33:CC41" si="92">(CB33-$CB$4)*100</f>
        <v>17.261361316792232</v>
      </c>
      <c r="CD33" s="19">
        <f t="shared" ref="CD33:CD41" si="93">LOG(AK33)</f>
        <v>4.095548725329782</v>
      </c>
      <c r="CE33" s="23">
        <f t="shared" ref="CE33:CE41" si="94">(POWER(AM33, -0.26) - 1)/-0.26</f>
        <v>3.5302079086335398</v>
      </c>
      <c r="CF33" s="23">
        <f t="shared" ref="CF33:CF41" si="95">(CE33-$CE$4)*100</f>
        <v>17.45150285563173</v>
      </c>
      <c r="CG33" s="23">
        <f t="shared" ref="CG33:CG41" si="96">LOG(AM33)</f>
        <v>4.1746687558311262</v>
      </c>
    </row>
    <row r="34" spans="1:85" x14ac:dyDescent="0.2">
      <c r="A34" s="31">
        <v>3</v>
      </c>
      <c r="D34" s="6"/>
      <c r="F34" s="5"/>
      <c r="G34" s="6"/>
      <c r="H34" s="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16">
        <f>Parameters!C17</f>
        <v>3.1399077404942015E-2</v>
      </c>
      <c r="V34" s="16">
        <f>(U34*$T$31)/(Parameters!B17*POWER(Parameters!$B$8,$C$31))</f>
        <v>0.2180330608555727</v>
      </c>
      <c r="W34" s="6">
        <f t="shared" si="70"/>
        <v>2951369167.4044266</v>
      </c>
      <c r="X34" s="8">
        <f>Parameters!D17</f>
        <v>1.0886748490444263E-2</v>
      </c>
      <c r="Y34" s="8">
        <f>(X34*$T$31)/(Parameters!B17*POWER(Parameters!$B$8,$C$31))</f>
        <v>7.5596842083097249E-2</v>
      </c>
      <c r="Z34" s="6">
        <f t="shared" si="71"/>
        <v>1023304392.4700379</v>
      </c>
      <c r="AA34" s="3"/>
      <c r="AB34" s="3"/>
      <c r="AC34" s="6">
        <f>Parameters!B17*POWER(Parameters!$B$8,$C$31)</f>
        <v>13536337818.783562</v>
      </c>
      <c r="AD34" s="6">
        <f>$AD$31*Parameters!E17</f>
        <v>3404342864.5710812</v>
      </c>
      <c r="AE34" s="6">
        <f t="shared" si="72"/>
        <v>13989311515.950216</v>
      </c>
      <c r="AF34" s="6">
        <f t="shared" si="66"/>
        <v>10584968651.379135</v>
      </c>
      <c r="AG34" s="6">
        <f t="shared" si="67"/>
        <v>15917376290.884605</v>
      </c>
      <c r="AH34" s="6">
        <f t="shared" si="73"/>
        <v>12513033426.313524</v>
      </c>
      <c r="AI34" s="8">
        <f t="shared" si="74"/>
        <v>412245.68</v>
      </c>
      <c r="AJ34" s="6">
        <f t="shared" si="68"/>
        <v>33934.404154217496</v>
      </c>
      <c r="AK34" s="6">
        <f t="shared" si="75"/>
        <v>25676.360396012242</v>
      </c>
      <c r="AL34" s="6">
        <f t="shared" si="76"/>
        <v>38611.384092332046</v>
      </c>
      <c r="AM34" s="6">
        <f t="shared" si="77"/>
        <v>30353.340334126788</v>
      </c>
      <c r="AN34" s="19">
        <f t="shared" si="69"/>
        <v>3.5908483332582342</v>
      </c>
      <c r="AO34" s="19">
        <f t="shared" si="78"/>
        <v>15.6061053234541</v>
      </c>
      <c r="AP34" s="19">
        <f t="shared" si="79"/>
        <v>0.99997053138179604</v>
      </c>
      <c r="AQ34" s="19">
        <f t="shared" si="80"/>
        <v>4.5306402279253861</v>
      </c>
      <c r="AR34" s="23">
        <f t="shared" si="81"/>
        <v>3.599276832197106</v>
      </c>
      <c r="AS34" s="23">
        <f t="shared" si="82"/>
        <v>15.724535623713098</v>
      </c>
      <c r="AT34" s="23">
        <f t="shared" si="83"/>
        <v>0.99997410090253147</v>
      </c>
      <c r="AU34" s="23">
        <f t="shared" si="84"/>
        <v>4.5867153699454253</v>
      </c>
      <c r="AW34">
        <v>1.8949533855106395</v>
      </c>
      <c r="BA34">
        <f t="shared" si="85"/>
        <v>2.1285300627253041</v>
      </c>
      <c r="BE34">
        <v>1.8971760150806003</v>
      </c>
      <c r="BI34">
        <f t="shared" si="86"/>
        <v>2.1416618243657015</v>
      </c>
      <c r="BM34">
        <f t="shared" si="87"/>
        <v>1.889881029261897</v>
      </c>
      <c r="BQ34">
        <f t="shared" si="88"/>
        <v>2.0998889167898014</v>
      </c>
      <c r="BU34">
        <f t="shared" si="89"/>
        <v>1.8929704546790844</v>
      </c>
      <c r="BY34">
        <f t="shared" si="90"/>
        <v>2.1171222192919372</v>
      </c>
      <c r="CB34" s="19">
        <f t="shared" si="91"/>
        <v>3.5716503047640074</v>
      </c>
      <c r="CC34" s="19">
        <f t="shared" si="92"/>
        <v>22.938150255052527</v>
      </c>
      <c r="CD34" s="19">
        <f t="shared" si="93"/>
        <v>4.409533462856646</v>
      </c>
      <c r="CE34" s="23">
        <f t="shared" si="94"/>
        <v>3.5833371422879394</v>
      </c>
      <c r="CF34" s="23">
        <f t="shared" si="95"/>
        <v>22.764426221071687</v>
      </c>
      <c r="CG34" s="23">
        <f t="shared" si="96"/>
        <v>4.4822064914196167</v>
      </c>
    </row>
    <row r="35" spans="1:85" x14ac:dyDescent="0.2">
      <c r="A35" s="31">
        <v>4</v>
      </c>
      <c r="D35" s="6"/>
      <c r="F35" s="5"/>
      <c r="G35" s="6"/>
      <c r="H35" s="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16">
        <f>Parameters!C18</f>
        <v>5.1692242898110294E-2</v>
      </c>
      <c r="V35" s="16">
        <f>(U35*$T$31)/(Parameters!B18*POWER(Parameters!$B$8,$C$31))</f>
        <v>0.22751275915364114</v>
      </c>
      <c r="W35" s="6">
        <f t="shared" si="70"/>
        <v>4858833586.6024761</v>
      </c>
      <c r="X35" s="8">
        <f>Parameters!D18</f>
        <v>2.2901398806974758E-2</v>
      </c>
      <c r="Y35" s="8">
        <f>(X35*$T$31)/(Parameters!B18*POWER(Parameters!$B$8,$C$31))</f>
        <v>0.10079578944412966</v>
      </c>
      <c r="Z35" s="6">
        <f t="shared" si="71"/>
        <v>2152626379.993557</v>
      </c>
      <c r="AA35" s="3"/>
      <c r="AB35" s="3"/>
      <c r="AC35" s="6">
        <f>Parameters!B18*POWER(Parameters!$B$8,$C$31)</f>
        <v>21356312519.252022</v>
      </c>
      <c r="AD35" s="6">
        <f>$AD$31*Parameters!E18</f>
        <v>2978800006.4996963</v>
      </c>
      <c r="AE35" s="6">
        <f t="shared" si="72"/>
        <v>19476278939.149239</v>
      </c>
      <c r="AF35" s="6">
        <f t="shared" si="66"/>
        <v>16497478932.649546</v>
      </c>
      <c r="AG35" s="6">
        <f t="shared" si="67"/>
        <v>22182486145.75816</v>
      </c>
      <c r="AH35" s="6">
        <f t="shared" si="73"/>
        <v>19203686139.258465</v>
      </c>
      <c r="AI35" s="8">
        <f t="shared" si="74"/>
        <v>412245.68</v>
      </c>
      <c r="AJ35" s="6">
        <f t="shared" si="68"/>
        <v>47244.349386873473</v>
      </c>
      <c r="AK35" s="6">
        <f t="shared" si="75"/>
        <v>40018.561098443883</v>
      </c>
      <c r="AL35" s="6">
        <f t="shared" si="76"/>
        <v>53808.898969561451</v>
      </c>
      <c r="AM35" s="6">
        <f t="shared" si="77"/>
        <v>46583.110681131853</v>
      </c>
      <c r="AN35" s="19">
        <f t="shared" si="69"/>
        <v>3.6118951697360666</v>
      </c>
      <c r="AO35" s="19">
        <f t="shared" si="78"/>
        <v>17.710788971237346</v>
      </c>
      <c r="AP35" s="19">
        <f t="shared" si="79"/>
        <v>0.99997883344753435</v>
      </c>
      <c r="AQ35" s="19">
        <f t="shared" si="80"/>
        <v>4.6743498725944823</v>
      </c>
      <c r="AR35" s="23">
        <f t="shared" si="81"/>
        <v>3.6196870247480692</v>
      </c>
      <c r="AS35" s="23">
        <f t="shared" si="82"/>
        <v>17.765554878809418</v>
      </c>
      <c r="AT35" s="23">
        <f t="shared" si="83"/>
        <v>0.99998141571340149</v>
      </c>
      <c r="AU35" s="23">
        <f t="shared" si="84"/>
        <v>4.7308541056622531</v>
      </c>
      <c r="AW35">
        <v>1.900498663439695</v>
      </c>
      <c r="BA35">
        <f t="shared" si="85"/>
        <v>2.1620244847351944</v>
      </c>
      <c r="BE35">
        <v>1.9025475091960435</v>
      </c>
      <c r="BI35">
        <f t="shared" si="86"/>
        <v>2.175052667330668</v>
      </c>
      <c r="BM35">
        <f t="shared" si="87"/>
        <v>1.897778665007213</v>
      </c>
      <c r="BQ35">
        <f t="shared" si="88"/>
        <v>2.1452882018861152</v>
      </c>
      <c r="BU35">
        <f t="shared" si="89"/>
        <v>1.9002723768377539</v>
      </c>
      <c r="BY35">
        <f t="shared" si="90"/>
        <v>2.1606083601746549</v>
      </c>
      <c r="CB35" s="19">
        <f t="shared" si="91"/>
        <v>3.6015638613565599</v>
      </c>
      <c r="CC35" s="19">
        <f t="shared" si="92"/>
        <v>25.929505914307782</v>
      </c>
      <c r="CD35" s="19">
        <f t="shared" si="93"/>
        <v>4.6022614691517614</v>
      </c>
      <c r="CE35" s="23">
        <f t="shared" si="94"/>
        <v>3.6110351061726065</v>
      </c>
      <c r="CF35" s="23">
        <f t="shared" si="95"/>
        <v>25.534222609538393</v>
      </c>
      <c r="CG35" s="23">
        <f t="shared" si="96"/>
        <v>4.668228486056611</v>
      </c>
    </row>
    <row r="36" spans="1:85" x14ac:dyDescent="0.2">
      <c r="A36" s="31">
        <v>5</v>
      </c>
      <c r="D36" s="6"/>
      <c r="E36" s="5"/>
      <c r="F36" s="6"/>
      <c r="G36" s="6"/>
      <c r="H36" s="6"/>
      <c r="I36" s="8"/>
      <c r="J36" s="8"/>
      <c r="K36" s="6"/>
      <c r="L36" s="6"/>
      <c r="M36" s="6"/>
      <c r="N36" s="6"/>
      <c r="O36" s="6"/>
      <c r="P36" s="6"/>
      <c r="Q36" s="6"/>
      <c r="R36" s="6"/>
      <c r="S36" s="6"/>
      <c r="T36" s="6"/>
      <c r="U36" s="16">
        <f>Parameters!C19</f>
        <v>7.0583126136746943E-2</v>
      </c>
      <c r="V36" s="16">
        <f>(U36*$T$31)/(Parameters!B19*POWER(Parameters!$B$8,$C$31))</f>
        <v>0.23699245745170947</v>
      </c>
      <c r="W36" s="6">
        <f t="shared" si="70"/>
        <v>6634489909.764823</v>
      </c>
      <c r="X36" s="8">
        <f>Parameters!D19</f>
        <v>3.7524833052111288E-2</v>
      </c>
      <c r="Y36" s="8">
        <f>(X36*$T$31)/(Parameters!B19*POWER(Parameters!$B$8,$C$31))</f>
        <v>0.12599473680516207</v>
      </c>
      <c r="Z36" s="6">
        <f t="shared" si="71"/>
        <v>3527162083.5766506</v>
      </c>
      <c r="AA36" s="3"/>
      <c r="AB36" s="3"/>
      <c r="AC36" s="6">
        <f>Parameters!B19*POWER(Parameters!$B$8,$C$31)</f>
        <v>27994519239.569862</v>
      </c>
      <c r="AD36" s="6">
        <f>$AD$31*Parameters!E19</f>
        <v>2553257148.4283109</v>
      </c>
      <c r="AE36" s="6">
        <f t="shared" si="72"/>
        <v>23913286478.233349</v>
      </c>
      <c r="AF36" s="6">
        <f t="shared" si="66"/>
        <v>21360029329.805038</v>
      </c>
      <c r="AG36" s="6">
        <f t="shared" si="67"/>
        <v>27020614304.421524</v>
      </c>
      <c r="AH36" s="6">
        <f t="shared" si="73"/>
        <v>24467357155.99321</v>
      </c>
      <c r="AI36" s="8">
        <f t="shared" si="74"/>
        <v>412245.68</v>
      </c>
      <c r="AJ36" s="6">
        <f t="shared" si="68"/>
        <v>58007.367058966753</v>
      </c>
      <c r="AK36" s="6">
        <f t="shared" si="75"/>
        <v>51813.834240312812</v>
      </c>
      <c r="AL36" s="6">
        <f t="shared" si="76"/>
        <v>65544.930160145101</v>
      </c>
      <c r="AM36" s="6">
        <f t="shared" si="77"/>
        <v>59351.397341491145</v>
      </c>
      <c r="AN36" s="19">
        <f t="shared" si="69"/>
        <v>3.6240679228230546</v>
      </c>
      <c r="AO36" s="19">
        <f t="shared" si="78"/>
        <v>18.928064279936141</v>
      </c>
      <c r="AP36" s="19">
        <f t="shared" si="79"/>
        <v>0.99998276081038151</v>
      </c>
      <c r="AQ36" s="19">
        <f t="shared" si="80"/>
        <v>4.7634831533884299</v>
      </c>
      <c r="AR36" s="23">
        <f t="shared" si="81"/>
        <v>3.6310112105140764</v>
      </c>
      <c r="AS36" s="23">
        <f t="shared" si="82"/>
        <v>18.897973455410131</v>
      </c>
      <c r="AT36" s="23">
        <f t="shared" si="83"/>
        <v>0.99998474328986919</v>
      </c>
      <c r="AU36" s="23">
        <f t="shared" si="84"/>
        <v>4.8165391050478474</v>
      </c>
      <c r="AW36">
        <v>1.9036984852709882</v>
      </c>
      <c r="BA36">
        <f t="shared" si="85"/>
        <v>2.1825405273186633</v>
      </c>
      <c r="BE36">
        <v>1.9055212437845128</v>
      </c>
      <c r="BI36">
        <f t="shared" si="86"/>
        <v>2.1946615012452027</v>
      </c>
      <c r="BM36">
        <f t="shared" si="87"/>
        <v>1.9019598905392621</v>
      </c>
      <c r="BQ36">
        <f t="shared" si="88"/>
        <v>2.1712774422921894</v>
      </c>
      <c r="BU36">
        <f t="shared" si="89"/>
        <v>1.9040448045400142</v>
      </c>
      <c r="BY36">
        <f t="shared" si="90"/>
        <v>2.1848182872350685</v>
      </c>
      <c r="CB36" s="19">
        <f t="shared" si="91"/>
        <v>3.6174514252201218</v>
      </c>
      <c r="CC36" s="19">
        <f t="shared" si="92"/>
        <v>27.518262300663963</v>
      </c>
      <c r="CD36" s="19">
        <f t="shared" si="93"/>
        <v>4.7144457314069115</v>
      </c>
      <c r="CE36" s="23">
        <f t="shared" si="94"/>
        <v>3.6253866176958214</v>
      </c>
      <c r="CF36" s="23">
        <f t="shared" si="95"/>
        <v>26.969373761859885</v>
      </c>
      <c r="CG36" s="23">
        <f t="shared" si="96"/>
        <v>4.7734309482367783</v>
      </c>
    </row>
    <row r="37" spans="1:85" x14ac:dyDescent="0.2">
      <c r="A37" s="31">
        <v>6</v>
      </c>
      <c r="N37" s="8"/>
      <c r="O37" s="8"/>
      <c r="P37" s="8"/>
      <c r="Q37" s="8"/>
      <c r="R37" s="8"/>
      <c r="S37" s="8"/>
      <c r="T37" s="8"/>
      <c r="U37" s="16">
        <f>Parameters!C20</f>
        <v>9.0905110853151228E-2</v>
      </c>
      <c r="V37" s="16">
        <f>(U37*$T$31)/(Parameters!B20*POWER(Parameters!$B$8,$C$31))</f>
        <v>0.25595185404784626</v>
      </c>
      <c r="W37" s="6">
        <f t="shared" si="70"/>
        <v>8544663203.6788511</v>
      </c>
      <c r="X37" s="8">
        <f>Parameters!D20</f>
        <v>5.3698687476024153E-2</v>
      </c>
      <c r="Y37" s="8">
        <f>(X37*$T$31)/(Parameters!B20*POWER(Parameters!$B$8,$C$31))</f>
        <v>0.15119368416619447</v>
      </c>
      <c r="Z37" s="6">
        <f t="shared" si="71"/>
        <v>5047430168.1832037</v>
      </c>
      <c r="AA37" s="3"/>
      <c r="AB37" s="3"/>
      <c r="AC37" s="6">
        <f>Parameters!B20*POWER(Parameters!$B$8,$C$31)</f>
        <v>33383869147.834175</v>
      </c>
      <c r="AD37" s="6">
        <f>$AD$31*Parameters!E20</f>
        <v>2127714290.356926</v>
      </c>
      <c r="AE37" s="6">
        <f t="shared" si="72"/>
        <v>26966920234.512249</v>
      </c>
      <c r="AF37" s="6">
        <f t="shared" si="66"/>
        <v>24839205944.155323</v>
      </c>
      <c r="AG37" s="6">
        <f t="shared" si="67"/>
        <v>30464153270.007896</v>
      </c>
      <c r="AH37" s="6">
        <f t="shared" si="73"/>
        <v>28336438979.65097</v>
      </c>
      <c r="AI37" s="8">
        <f t="shared" si="74"/>
        <v>412245.68</v>
      </c>
      <c r="AJ37" s="6">
        <f t="shared" si="68"/>
        <v>65414.682415864852</v>
      </c>
      <c r="AK37" s="6">
        <f t="shared" si="75"/>
        <v>60253.405066986568</v>
      </c>
      <c r="AL37" s="6">
        <f t="shared" si="76"/>
        <v>73898.053388959466</v>
      </c>
      <c r="AM37" s="6">
        <f t="shared" si="77"/>
        <v>68736.776040081168</v>
      </c>
      <c r="AN37" s="19">
        <f t="shared" si="69"/>
        <v>3.6308999156538948</v>
      </c>
      <c r="AO37" s="19">
        <f t="shared" si="78"/>
        <v>19.611263563020167</v>
      </c>
      <c r="AP37" s="19">
        <f t="shared" si="79"/>
        <v>0.99998471291210067</v>
      </c>
      <c r="AQ37" s="19">
        <f t="shared" si="80"/>
        <v>4.815675237262055</v>
      </c>
      <c r="AR37" s="23">
        <f t="shared" si="81"/>
        <v>3.6376173498939441</v>
      </c>
      <c r="AS37" s="23">
        <f t="shared" si="82"/>
        <v>19.558587393396909</v>
      </c>
      <c r="AT37" s="23">
        <f t="shared" si="83"/>
        <v>0.99998646784381806</v>
      </c>
      <c r="AU37" s="23">
        <f t="shared" si="84"/>
        <v>4.8686329984277359</v>
      </c>
      <c r="AW37">
        <v>1.9054920403018993</v>
      </c>
      <c r="BA37">
        <f t="shared" si="85"/>
        <v>2.1944646812519117</v>
      </c>
      <c r="BE37">
        <v>1.9072538766231264</v>
      </c>
      <c r="BI37">
        <f t="shared" si="86"/>
        <v>2.2064979035629597</v>
      </c>
      <c r="BM37">
        <f t="shared" si="87"/>
        <v>1.9042716987855997</v>
      </c>
      <c r="BQ37">
        <f t="shared" si="88"/>
        <v>2.186316901773762</v>
      </c>
      <c r="BU37">
        <f t="shared" si="89"/>
        <v>1.9062147209284128</v>
      </c>
      <c r="BY37">
        <f t="shared" si="90"/>
        <v>2.1993610796255534</v>
      </c>
      <c r="CB37" s="19">
        <f t="shared" si="91"/>
        <v>3.6262507027957933</v>
      </c>
      <c r="CC37" s="19">
        <f t="shared" si="92"/>
        <v>28.398190058231123</v>
      </c>
      <c r="CD37" s="19">
        <f t="shared" si="93"/>
        <v>4.7799815949816225</v>
      </c>
      <c r="CE37" s="23">
        <f t="shared" si="94"/>
        <v>3.6336545622841867</v>
      </c>
      <c r="CF37" s="23">
        <f t="shared" si="95"/>
        <v>27.796168220696416</v>
      </c>
      <c r="CG37" s="23">
        <f t="shared" si="96"/>
        <v>4.8371891585716797</v>
      </c>
    </row>
    <row r="38" spans="1:85" x14ac:dyDescent="0.2">
      <c r="A38" s="31">
        <v>7</v>
      </c>
      <c r="U38" s="16">
        <f>Parameters!C21</f>
        <v>0.11035602414482847</v>
      </c>
      <c r="V38" s="16">
        <f>(U38*$T$31)/(Parameters!B21*POWER(Parameters!$B$8,$C$31))</f>
        <v>0.26543155234591465</v>
      </c>
      <c r="W38" s="6">
        <f t="shared" si="70"/>
        <v>10372959781.522812</v>
      </c>
      <c r="X38" s="8">
        <f>Parameters!D21</f>
        <v>8.3813868210341438E-2</v>
      </c>
      <c r="Y38" s="8">
        <f>(X38*$T$31)/(Parameters!B21*POWER(Parameters!$B$8,$C$31))</f>
        <v>0.20159157888825932</v>
      </c>
      <c r="Z38" s="6">
        <f t="shared" si="71"/>
        <v>7878118941.0987587</v>
      </c>
      <c r="AC38" s="6">
        <f>Parameters!B21*POWER(Parameters!$B$8,$C$31)</f>
        <v>39079603347.24865</v>
      </c>
      <c r="AD38" s="6">
        <f>$AD$31*Parameters!E21</f>
        <v>1702171432.2855406</v>
      </c>
      <c r="AE38" s="6">
        <f t="shared" si="72"/>
        <v>30408814998.011375</v>
      </c>
      <c r="AF38" s="6">
        <f t="shared" si="66"/>
        <v>28706643565.725838</v>
      </c>
      <c r="AG38" s="6">
        <f t="shared" si="67"/>
        <v>32903655838.435429</v>
      </c>
      <c r="AH38" s="6">
        <f t="shared" si="73"/>
        <v>31201484406.149891</v>
      </c>
      <c r="AI38" s="8">
        <f t="shared" si="74"/>
        <v>412245.68</v>
      </c>
      <c r="AJ38" s="6">
        <f t="shared" si="68"/>
        <v>73763.817241241617</v>
      </c>
      <c r="AK38" s="6">
        <f t="shared" si="75"/>
        <v>69634.795362139004</v>
      </c>
      <c r="AL38" s="6">
        <f t="shared" si="76"/>
        <v>79815.64740335285</v>
      </c>
      <c r="AM38" s="6">
        <f t="shared" si="77"/>
        <v>75686.625524250223</v>
      </c>
      <c r="AN38" s="19">
        <f t="shared" si="69"/>
        <v>3.6375187470811108</v>
      </c>
      <c r="AO38" s="19">
        <f t="shared" si="78"/>
        <v>20.273146705741762</v>
      </c>
      <c r="AP38" s="19">
        <f t="shared" si="79"/>
        <v>0.99998644321786212</v>
      </c>
      <c r="AQ38" s="19">
        <f t="shared" si="80"/>
        <v>4.8678433831528292</v>
      </c>
      <c r="AR38" s="23">
        <f t="shared" si="81"/>
        <v>3.6417524953907257</v>
      </c>
      <c r="AS38" s="23">
        <f t="shared" si="82"/>
        <v>19.97210194307506</v>
      </c>
      <c r="AT38" s="23">
        <f t="shared" si="83"/>
        <v>0.99998747112837483</v>
      </c>
      <c r="AU38" s="23">
        <f t="shared" si="84"/>
        <v>4.90208804065864</v>
      </c>
      <c r="AW38">
        <v>1.9072280270279982</v>
      </c>
      <c r="BA38">
        <f t="shared" si="85"/>
        <v>2.2063189667753909</v>
      </c>
      <c r="BE38">
        <v>1.9083376261528582</v>
      </c>
      <c r="BI38">
        <f t="shared" si="86"/>
        <v>2.2140659521926263</v>
      </c>
      <c r="BM38">
        <f t="shared" si="87"/>
        <v>1.906402501169373</v>
      </c>
      <c r="BQ38">
        <f t="shared" si="88"/>
        <v>2.2006422479943519</v>
      </c>
      <c r="BU38">
        <f t="shared" si="89"/>
        <v>1.9075927199078875</v>
      </c>
      <c r="BY38">
        <f t="shared" si="90"/>
        <v>2.2088501856669298</v>
      </c>
      <c r="CB38" s="19">
        <f t="shared" si="91"/>
        <v>3.6343704964648418</v>
      </c>
      <c r="CC38" s="19">
        <f t="shared" si="92"/>
        <v>29.210169425135966</v>
      </c>
      <c r="CD38" s="19">
        <f t="shared" si="93"/>
        <v>4.8428263036576356</v>
      </c>
      <c r="CE38" s="23">
        <f t="shared" si="94"/>
        <v>3.6389099850455717</v>
      </c>
      <c r="CF38" s="23">
        <f t="shared" si="95"/>
        <v>28.321710496834918</v>
      </c>
      <c r="CG38" s="23">
        <f t="shared" si="96"/>
        <v>4.8790191427208303</v>
      </c>
    </row>
    <row r="39" spans="1:85" x14ac:dyDescent="0.2">
      <c r="A39" s="31">
        <v>8</v>
      </c>
      <c r="U39" s="16">
        <f>Parameters!C22</f>
        <v>0.13623161609900061</v>
      </c>
      <c r="V39" s="16">
        <f>(U39*$T$31)/(Parameters!B22*POWER(Parameters!$B$8,$C$31))</f>
        <v>0.27491125064398297</v>
      </c>
      <c r="W39" s="6">
        <f t="shared" si="70"/>
        <v>12805146667.047729</v>
      </c>
      <c r="X39" s="8">
        <f>Parameters!D22</f>
        <v>0.13736006243615159</v>
      </c>
      <c r="Y39" s="8">
        <f>(X39*$T$31)/(Parameters!B22*POWER(Parameters!$B$8,$C$31))</f>
        <v>0.2771884209713566</v>
      </c>
      <c r="Z39" s="6">
        <f t="shared" si="71"/>
        <v>12911215443.64222</v>
      </c>
      <c r="AC39" s="6">
        <f>Parameters!B22*POWER(Parameters!$B$8,$C$31)</f>
        <v>46579201968.095222</v>
      </c>
      <c r="AD39" s="6">
        <f>$AD$31*Parameters!E22</f>
        <v>1276628574.2141554</v>
      </c>
      <c r="AE39" s="6">
        <f t="shared" si="72"/>
        <v>35050683875.26165</v>
      </c>
      <c r="AF39" s="6">
        <f t="shared" si="66"/>
        <v>33774055301.047493</v>
      </c>
      <c r="AG39" s="6">
        <f t="shared" si="67"/>
        <v>34944615098.66716</v>
      </c>
      <c r="AH39" s="6">
        <f t="shared" si="73"/>
        <v>33667986524.453003</v>
      </c>
      <c r="AI39" s="8">
        <f t="shared" si="74"/>
        <v>412245.68</v>
      </c>
      <c r="AJ39" s="6">
        <f t="shared" si="68"/>
        <v>85023.774840434111</v>
      </c>
      <c r="AK39" s="6">
        <f t="shared" si="75"/>
        <v>81927.00843110714</v>
      </c>
      <c r="AL39" s="6">
        <f t="shared" si="76"/>
        <v>84766.479781345828</v>
      </c>
      <c r="AM39" s="6">
        <f t="shared" si="77"/>
        <v>81669.713372018843</v>
      </c>
      <c r="AN39" s="19">
        <f t="shared" si="69"/>
        <v>3.6450843671827271</v>
      </c>
      <c r="AO39" s="19">
        <f t="shared" si="78"/>
        <v>21.029708715903396</v>
      </c>
      <c r="AP39" s="19">
        <f t="shared" si="79"/>
        <v>0.9999882385838329</v>
      </c>
      <c r="AQ39" s="19">
        <f t="shared" si="80"/>
        <v>4.929540382635075</v>
      </c>
      <c r="AR39" s="23">
        <f t="shared" si="81"/>
        <v>3.6449258633978316</v>
      </c>
      <c r="AS39" s="23">
        <f t="shared" si="82"/>
        <v>20.289438743785659</v>
      </c>
      <c r="AT39" s="23">
        <f t="shared" si="83"/>
        <v>0.99998820288393975</v>
      </c>
      <c r="AU39" s="23">
        <f t="shared" si="84"/>
        <v>4.9282241479646611</v>
      </c>
      <c r="AW39">
        <v>1.9092104041154623</v>
      </c>
      <c r="BA39">
        <f t="shared" si="85"/>
        <v>2.2202568280798225</v>
      </c>
      <c r="BE39">
        <v>1.9091688933663862</v>
      </c>
      <c r="BI39">
        <f t="shared" si="86"/>
        <v>2.2199603933324266</v>
      </c>
      <c r="BM39">
        <f t="shared" si="87"/>
        <v>1.9086999108850091</v>
      </c>
      <c r="BQ39">
        <f t="shared" si="88"/>
        <v>2.216625159304964</v>
      </c>
      <c r="BU39">
        <f t="shared" si="89"/>
        <v>1.9086563986832001</v>
      </c>
      <c r="BY39">
        <f t="shared" si="90"/>
        <v>2.2163169970452112</v>
      </c>
      <c r="CB39" s="19">
        <f t="shared" si="91"/>
        <v>3.6431353498124417</v>
      </c>
      <c r="CC39" s="19">
        <f t="shared" si="92"/>
        <v>30.086654759895957</v>
      </c>
      <c r="CD39" s="19">
        <f t="shared" si="93"/>
        <v>4.9134270968637566</v>
      </c>
      <c r="CE39" s="23">
        <f t="shared" si="94"/>
        <v>3.6429692482343228</v>
      </c>
      <c r="CF39" s="23">
        <f t="shared" si="95"/>
        <v>28.727636815710021</v>
      </c>
      <c r="CG39" s="23">
        <f t="shared" si="96"/>
        <v>4.9120610313915023</v>
      </c>
    </row>
    <row r="40" spans="1:85" x14ac:dyDescent="0.2">
      <c r="A40" s="31">
        <v>9</v>
      </c>
      <c r="U40" s="16">
        <f>Parameters!C23</f>
        <v>0.17539672338276532</v>
      </c>
      <c r="V40" s="16">
        <f>(U40*$T$31)/(Parameters!B23*POWER(Parameters!$B$8,$C$31))</f>
        <v>0.28439094894205136</v>
      </c>
      <c r="W40" s="6">
        <f t="shared" si="70"/>
        <v>16486487000.225687</v>
      </c>
      <c r="X40" s="8">
        <f>Parameters!D23</f>
        <v>0.21757858127224192</v>
      </c>
      <c r="Y40" s="8">
        <f>(X40*$T$31)/(Parameters!B23*POWER(Parameters!$B$8,$C$31))</f>
        <v>0.35278526305445373</v>
      </c>
      <c r="Z40" s="6">
        <f t="shared" si="71"/>
        <v>20451388044.714394</v>
      </c>
      <c r="AC40" s="6">
        <f>Parameters!B23*POWER(Parameters!$B$8,$C$31)</f>
        <v>57971208512.634621</v>
      </c>
      <c r="AD40" s="6">
        <f>$AD$31*Parameters!E23</f>
        <v>851085716.14277029</v>
      </c>
      <c r="AE40" s="6">
        <f t="shared" si="72"/>
        <v>42335807228.551704</v>
      </c>
      <c r="AF40" s="6">
        <f t="shared" si="66"/>
        <v>41484721512.408936</v>
      </c>
      <c r="AG40" s="6">
        <f t="shared" si="67"/>
        <v>38370906184.062996</v>
      </c>
      <c r="AH40" s="6">
        <f t="shared" si="73"/>
        <v>37519820467.920227</v>
      </c>
      <c r="AI40" s="8">
        <f t="shared" si="74"/>
        <v>412245.68</v>
      </c>
      <c r="AJ40" s="6">
        <f t="shared" si="68"/>
        <v>102695.57519329664</v>
      </c>
      <c r="AK40" s="6">
        <f t="shared" si="75"/>
        <v>100631.06425374532</v>
      </c>
      <c r="AL40" s="6">
        <f t="shared" si="76"/>
        <v>93077.764172235824</v>
      </c>
      <c r="AM40" s="6">
        <f t="shared" si="77"/>
        <v>91013.253232684525</v>
      </c>
      <c r="AN40" s="19">
        <f t="shared" si="69"/>
        <v>3.6547180266420782</v>
      </c>
      <c r="AO40" s="19">
        <f t="shared" si="78"/>
        <v>21.993074661838506</v>
      </c>
      <c r="AP40" s="19">
        <f t="shared" si="79"/>
        <v>0.99999026248211653</v>
      </c>
      <c r="AQ40" s="19">
        <f t="shared" si="80"/>
        <v>5.0115517317128253</v>
      </c>
      <c r="AR40" s="23">
        <f t="shared" si="81"/>
        <v>3.6497605283725978</v>
      </c>
      <c r="AS40" s="23">
        <f t="shared" si="82"/>
        <v>20.772905241262272</v>
      </c>
      <c r="AT40" s="23">
        <f t="shared" si="83"/>
        <v>0.99998925629543323</v>
      </c>
      <c r="AU40" s="23">
        <f t="shared" si="84"/>
        <v>4.9688459425205505</v>
      </c>
      <c r="AW40">
        <v>1.911731682700812</v>
      </c>
      <c r="BA40">
        <f t="shared" si="85"/>
        <v>2.2386495330249496</v>
      </c>
      <c r="BE40">
        <v>1.9104346438369981</v>
      </c>
      <c r="BI40">
        <f t="shared" si="86"/>
        <v>2.2290908331695571</v>
      </c>
      <c r="BM40">
        <f t="shared" si="87"/>
        <v>1.9114665980292707</v>
      </c>
      <c r="BQ40">
        <f t="shared" si="88"/>
        <v>2.2366788025383886</v>
      </c>
      <c r="BU40">
        <f t="shared" si="89"/>
        <v>1.9101339864848232</v>
      </c>
      <c r="BY40">
        <f t="shared" si="90"/>
        <v>2.226904721430413</v>
      </c>
      <c r="CB40" s="19">
        <f t="shared" si="91"/>
        <v>3.653704555381593</v>
      </c>
      <c r="CC40" s="19">
        <f t="shared" si="92"/>
        <v>31.143575316811088</v>
      </c>
      <c r="CD40" s="19">
        <f t="shared" si="93"/>
        <v>5.00273206572456</v>
      </c>
      <c r="CE40" s="23">
        <f t="shared" si="94"/>
        <v>3.6486118463244033</v>
      </c>
      <c r="CF40" s="23">
        <f t="shared" si="95"/>
        <v>29.291896624718071</v>
      </c>
      <c r="CG40" s="23">
        <f t="shared" si="96"/>
        <v>4.9591046383290651</v>
      </c>
    </row>
    <row r="41" spans="1:85" x14ac:dyDescent="0.2">
      <c r="A41" s="31">
        <v>10</v>
      </c>
      <c r="U41" s="16">
        <f>Parameters!C24</f>
        <v>0.31542540330404345</v>
      </c>
      <c r="V41" s="16">
        <f>(U41*$T$31)/(Parameters!B24*POWER(Parameters!$B$8,$C$31))</f>
        <v>0.2938706472401198</v>
      </c>
      <c r="W41" s="6">
        <f t="shared" si="70"/>
        <v>29648540239.629356</v>
      </c>
      <c r="X41" s="8">
        <f>Parameters!D24</f>
        <v>0.43275574250579357</v>
      </c>
      <c r="Y41" s="8">
        <f>(X41*$T$31)/(Parameters!B24*POWER(Parameters!$B$8,$C$31))</f>
        <v>0.4031831577765187</v>
      </c>
      <c r="Z41" s="6">
        <f t="shared" si="71"/>
        <v>40677053627.307594</v>
      </c>
      <c r="AC41" s="6">
        <f>Parameters!B24*POWER(Parameters!$B$8,$C$31)</f>
        <v>100889763976.33795</v>
      </c>
      <c r="AD41" s="6">
        <f>$AD$31*Parameters!E24</f>
        <v>425542858.07138515</v>
      </c>
      <c r="AE41" s="6">
        <f t="shared" si="72"/>
        <v>71666766594.779968</v>
      </c>
      <c r="AF41" s="6">
        <f t="shared" si="66"/>
        <v>71241223736.708588</v>
      </c>
      <c r="AG41" s="6">
        <f t="shared" si="67"/>
        <v>60638253207.101738</v>
      </c>
      <c r="AH41" s="6">
        <f t="shared" si="73"/>
        <v>60212710349.030357</v>
      </c>
      <c r="AI41" s="8">
        <f t="shared" si="74"/>
        <v>412245.68</v>
      </c>
      <c r="AJ41" s="6">
        <f t="shared" si="68"/>
        <v>173844.79709958384</v>
      </c>
      <c r="AK41" s="6">
        <f t="shared" si="75"/>
        <v>172812.5416298082</v>
      </c>
      <c r="AL41" s="6">
        <f t="shared" si="76"/>
        <v>147092.51339420158</v>
      </c>
      <c r="AM41" s="6">
        <f t="shared" si="77"/>
        <v>146060.25792442594</v>
      </c>
      <c r="AN41" s="19">
        <f t="shared" si="69"/>
        <v>3.6792045429851723</v>
      </c>
      <c r="AO41" s="19">
        <f t="shared" si="78"/>
        <v>24.441726296147912</v>
      </c>
      <c r="AP41" s="19">
        <f t="shared" si="79"/>
        <v>0.99999424774271828</v>
      </c>
      <c r="AQ41" s="19">
        <f t="shared" si="80"/>
        <v>5.2401616974653322</v>
      </c>
      <c r="AR41" s="23">
        <f t="shared" si="81"/>
        <v>3.6717913393941988</v>
      </c>
      <c r="AS41" s="23">
        <f t="shared" si="82"/>
        <v>22.97598634342237</v>
      </c>
      <c r="AT41" s="23">
        <f t="shared" si="83"/>
        <v>0.99999320155746252</v>
      </c>
      <c r="AU41" s="23">
        <f t="shared" si="84"/>
        <v>5.1675905688911703</v>
      </c>
      <c r="AW41">
        <v>1.9181252678032195</v>
      </c>
      <c r="BA41">
        <f t="shared" si="85"/>
        <v>2.2891399471123064</v>
      </c>
      <c r="BE41">
        <v>1.9161918848054333</v>
      </c>
      <c r="BI41">
        <f t="shared" si="86"/>
        <v>2.2732335051400177</v>
      </c>
      <c r="BM41">
        <f t="shared" si="87"/>
        <v>1.9180578285138459</v>
      </c>
      <c r="BQ41">
        <f t="shared" si="88"/>
        <v>2.2885749403514195</v>
      </c>
      <c r="BU41">
        <f t="shared" si="89"/>
        <v>1.9161084994940121</v>
      </c>
      <c r="BY41">
        <f t="shared" si="90"/>
        <v>2.2725606841659198</v>
      </c>
      <c r="CB41" s="19">
        <f t="shared" si="91"/>
        <v>3.6789458335232497</v>
      </c>
      <c r="CC41" s="19">
        <f t="shared" si="92"/>
        <v>33.667703130976754</v>
      </c>
      <c r="CD41" s="19">
        <f t="shared" si="93"/>
        <v>5.2375752576045036</v>
      </c>
      <c r="CE41" s="23">
        <f t="shared" si="94"/>
        <v>3.6714717818331946</v>
      </c>
      <c r="CF41" s="23">
        <f t="shared" si="95"/>
        <v>31.577890175597201</v>
      </c>
      <c r="CG41" s="23">
        <f t="shared" si="96"/>
        <v>5.1645320632166731</v>
      </c>
    </row>
  </sheetData>
  <mergeCells count="70">
    <mergeCell ref="BX29:CA29"/>
    <mergeCell ref="CB29:CD29"/>
    <mergeCell ref="CE1:CG1"/>
    <mergeCell ref="CE15:CG15"/>
    <mergeCell ref="AN29:AQ29"/>
    <mergeCell ref="AR29:AU29"/>
    <mergeCell ref="AN15:AQ15"/>
    <mergeCell ref="BH15:BK15"/>
    <mergeCell ref="AV15:AY15"/>
    <mergeCell ref="BD15:BG15"/>
    <mergeCell ref="AZ15:BC15"/>
    <mergeCell ref="BH29:BK29"/>
    <mergeCell ref="BD29:BG29"/>
    <mergeCell ref="BD1:BG1"/>
    <mergeCell ref="BH1:BK1"/>
    <mergeCell ref="BL29:BO29"/>
    <mergeCell ref="BT29:BW29"/>
    <mergeCell ref="AA29:AB29"/>
    <mergeCell ref="AC29:AD29"/>
    <mergeCell ref="AA15:AB15"/>
    <mergeCell ref="AC15:AD15"/>
    <mergeCell ref="AL15:AM15"/>
    <mergeCell ref="AJ15:AK15"/>
    <mergeCell ref="AG15:AH15"/>
    <mergeCell ref="AE29:AF29"/>
    <mergeCell ref="AE15:AF15"/>
    <mergeCell ref="AJ29:AK29"/>
    <mergeCell ref="AL29:AM29"/>
    <mergeCell ref="AG29:AH29"/>
    <mergeCell ref="B29:C29"/>
    <mergeCell ref="D29:H29"/>
    <mergeCell ref="I29:N29"/>
    <mergeCell ref="U29:W29"/>
    <mergeCell ref="X29:Z29"/>
    <mergeCell ref="B15:C15"/>
    <mergeCell ref="D15:H15"/>
    <mergeCell ref="I15:N15"/>
    <mergeCell ref="U15:W15"/>
    <mergeCell ref="X15:Z15"/>
    <mergeCell ref="B1:C1"/>
    <mergeCell ref="AA1:AB1"/>
    <mergeCell ref="U1:W1"/>
    <mergeCell ref="D1:H1"/>
    <mergeCell ref="I1:N1"/>
    <mergeCell ref="X1:Z1"/>
    <mergeCell ref="AC1:AD1"/>
    <mergeCell ref="AZ1:BC1"/>
    <mergeCell ref="AE1:AF1"/>
    <mergeCell ref="AG1:AH1"/>
    <mergeCell ref="AJ1:AK1"/>
    <mergeCell ref="AL1:AM1"/>
    <mergeCell ref="AN1:AQ1"/>
    <mergeCell ref="AV1:AY1"/>
    <mergeCell ref="AR1:AU1"/>
    <mergeCell ref="CE29:CG29"/>
    <mergeCell ref="AZ29:BC29"/>
    <mergeCell ref="AV29:AY29"/>
    <mergeCell ref="CH1:CI1"/>
    <mergeCell ref="AR15:AU15"/>
    <mergeCell ref="CB1:CD1"/>
    <mergeCell ref="BL15:BO15"/>
    <mergeCell ref="BP15:BS15"/>
    <mergeCell ref="BT15:BW15"/>
    <mergeCell ref="BX15:CA15"/>
    <mergeCell ref="CB15:CD15"/>
    <mergeCell ref="BL1:BO1"/>
    <mergeCell ref="BX1:CA1"/>
    <mergeCell ref="BP1:BS1"/>
    <mergeCell ref="BT1:BW1"/>
    <mergeCell ref="BP29:BS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A675-7C36-4767-A76C-0F167AE6D16C}">
  <dimension ref="A1:H26"/>
  <sheetViews>
    <sheetView zoomScale="75" workbookViewId="0">
      <selection activeCell="H42" sqref="H42"/>
    </sheetView>
  </sheetViews>
  <sheetFormatPr baseColWidth="10" defaultColWidth="8.83203125" defaultRowHeight="15" x14ac:dyDescent="0.2"/>
  <cols>
    <col min="2" max="2" width="40.1640625" bestFit="1" customWidth="1"/>
    <col min="3" max="4" width="40.1640625" customWidth="1"/>
    <col min="5" max="5" width="37.5" bestFit="1" customWidth="1"/>
    <col min="6" max="6" width="32.83203125" customWidth="1"/>
    <col min="7" max="7" width="34" customWidth="1"/>
    <col min="8" max="8" width="25.5" customWidth="1"/>
  </cols>
  <sheetData>
    <row r="1" spans="1:8" s="2" customFormat="1" x14ac:dyDescent="0.2">
      <c r="A1" s="2" t="s">
        <v>90</v>
      </c>
      <c r="B1" s="2" t="s">
        <v>219</v>
      </c>
      <c r="C1" s="2" t="s">
        <v>124</v>
      </c>
      <c r="D1" s="2" t="s">
        <v>221</v>
      </c>
      <c r="E1" s="2" t="s">
        <v>222</v>
      </c>
      <c r="F1" s="2" t="s">
        <v>125</v>
      </c>
      <c r="G1" s="2" t="s">
        <v>126</v>
      </c>
      <c r="H1" s="2" t="s">
        <v>127</v>
      </c>
    </row>
    <row r="2" spans="1:8" x14ac:dyDescent="0.2">
      <c r="A2">
        <v>1</v>
      </c>
      <c r="B2">
        <v>0.25</v>
      </c>
      <c r="C2" s="8">
        <v>0</v>
      </c>
      <c r="D2" s="7">
        <f>B2*Parameters!B15</f>
        <v>199525000</v>
      </c>
      <c r="E2">
        <f>D2/$D$13</f>
        <v>3.6096393698449797E-3</v>
      </c>
      <c r="F2">
        <f>C2*Parameters!B15</f>
        <v>0</v>
      </c>
      <c r="G2">
        <v>0</v>
      </c>
      <c r="H2">
        <f>G2/$D$13</f>
        <v>0</v>
      </c>
    </row>
    <row r="3" spans="1:8" x14ac:dyDescent="0.2">
      <c r="A3">
        <v>2</v>
      </c>
      <c r="B3">
        <v>0.22</v>
      </c>
      <c r="C3" s="8">
        <v>0.1</v>
      </c>
      <c r="D3" s="7">
        <f>B3*Parameters!B16</f>
        <v>796026000</v>
      </c>
      <c r="E3">
        <f t="shared" ref="E3:E11" si="0">D3/$D$13</f>
        <v>1.4401036406566694E-2</v>
      </c>
      <c r="F3">
        <f>C3*Parameters!B16</f>
        <v>361830000</v>
      </c>
      <c r="G3">
        <f>F3*$G$13</f>
        <v>192363403.07370803</v>
      </c>
      <c r="H3">
        <f>G3/$D$13</f>
        <v>3.4800777499171295E-3</v>
      </c>
    </row>
    <row r="4" spans="1:8" x14ac:dyDescent="0.2">
      <c r="A4">
        <v>3</v>
      </c>
      <c r="B4">
        <v>0.23</v>
      </c>
      <c r="C4" s="8">
        <v>0.15</v>
      </c>
      <c r="D4" s="7">
        <f>B4*Parameters!B17</f>
        <v>1735603000</v>
      </c>
      <c r="E4">
        <f t="shared" si="0"/>
        <v>3.1399077404942015E-2</v>
      </c>
      <c r="F4">
        <f>C4*Parameters!B17</f>
        <v>1131915000</v>
      </c>
      <c r="G4">
        <f>F4*$G$13</f>
        <v>601771609.29214334</v>
      </c>
      <c r="H4">
        <f t="shared" ref="H4:H11" si="1">G4/$D$13</f>
        <v>1.0886748490444263E-2</v>
      </c>
    </row>
    <row r="5" spans="1:8" x14ac:dyDescent="0.2">
      <c r="A5">
        <v>4</v>
      </c>
      <c r="B5">
        <v>0.24</v>
      </c>
      <c r="C5" s="8">
        <v>0.2</v>
      </c>
      <c r="D5" s="7">
        <f>B5*Parameters!B18</f>
        <v>2857320000</v>
      </c>
      <c r="E5">
        <f t="shared" si="0"/>
        <v>5.1692242898110294E-2</v>
      </c>
      <c r="F5">
        <f>C5*Parameters!B18</f>
        <v>2381100000</v>
      </c>
      <c r="G5">
        <f t="shared" ref="G5:G11" si="2">F5*$G$13</f>
        <v>1265888674.401808</v>
      </c>
      <c r="H5">
        <f t="shared" si="1"/>
        <v>2.2901398806974758E-2</v>
      </c>
    </row>
    <row r="6" spans="1:8" x14ac:dyDescent="0.2">
      <c r="A6">
        <v>5</v>
      </c>
      <c r="B6">
        <v>0.25</v>
      </c>
      <c r="C6" s="8">
        <v>0.25</v>
      </c>
      <c r="D6" s="7">
        <f>B6*Parameters!B19</f>
        <v>3901525000</v>
      </c>
      <c r="E6">
        <f t="shared" si="0"/>
        <v>7.0583126136746943E-2</v>
      </c>
      <c r="F6">
        <f>C6*Parameters!B19</f>
        <v>3901525000</v>
      </c>
      <c r="G6">
        <f t="shared" si="2"/>
        <v>2074207849.4794481</v>
      </c>
      <c r="H6">
        <f t="shared" si="1"/>
        <v>3.7524833052111288E-2</v>
      </c>
    </row>
    <row r="7" spans="1:8" x14ac:dyDescent="0.2">
      <c r="A7">
        <v>6</v>
      </c>
      <c r="B7">
        <v>0.27</v>
      </c>
      <c r="C7">
        <v>0.3</v>
      </c>
      <c r="D7" s="7">
        <f>B7*Parameters!B20</f>
        <v>5024835000</v>
      </c>
      <c r="E7">
        <f t="shared" si="0"/>
        <v>9.0905110853151228E-2</v>
      </c>
      <c r="F7">
        <f>C7*Parameters!B20</f>
        <v>5583150000</v>
      </c>
      <c r="G7">
        <f>F7*$G$13</f>
        <v>2968227437.9431581</v>
      </c>
      <c r="H7">
        <f t="shared" si="1"/>
        <v>5.3698687476024153E-2</v>
      </c>
    </row>
    <row r="8" spans="1:8" x14ac:dyDescent="0.2">
      <c r="A8">
        <v>7</v>
      </c>
      <c r="B8">
        <v>0.28000000000000003</v>
      </c>
      <c r="C8" s="1">
        <v>0.4</v>
      </c>
      <c r="D8" s="7">
        <f>B8*Parameters!B21</f>
        <v>6099996000.000001</v>
      </c>
      <c r="E8">
        <f t="shared" si="0"/>
        <v>0.11035602414482847</v>
      </c>
      <c r="F8">
        <f>C8*Parameters!B21</f>
        <v>8714280000</v>
      </c>
      <c r="G8">
        <f t="shared" si="2"/>
        <v>4632862272.7168903</v>
      </c>
      <c r="H8">
        <f t="shared" si="1"/>
        <v>8.3813868210341438E-2</v>
      </c>
    </row>
    <row r="9" spans="1:8" x14ac:dyDescent="0.2">
      <c r="A9">
        <v>8</v>
      </c>
      <c r="B9">
        <v>0.28999999999999998</v>
      </c>
      <c r="C9">
        <v>0.55000000000000004</v>
      </c>
      <c r="D9" s="7">
        <f>B9*Parameters!B22</f>
        <v>7530284999.999999</v>
      </c>
      <c r="E9">
        <f t="shared" si="0"/>
        <v>0.13623161609900061</v>
      </c>
      <c r="F9">
        <f>C9*Parameters!B22</f>
        <v>14281575000.000002</v>
      </c>
      <c r="G9">
        <f t="shared" si="2"/>
        <v>7592660553.9960537</v>
      </c>
      <c r="H9">
        <f t="shared" si="1"/>
        <v>0.13736006243615159</v>
      </c>
    </row>
    <row r="10" spans="1:8" x14ac:dyDescent="0.2">
      <c r="A10">
        <v>9</v>
      </c>
      <c r="B10">
        <v>0.3</v>
      </c>
      <c r="C10" s="8">
        <v>0.7</v>
      </c>
      <c r="D10" s="7">
        <f>B10*Parameters!B23</f>
        <v>9695160000</v>
      </c>
      <c r="E10">
        <f t="shared" si="0"/>
        <v>0.17539672338276532</v>
      </c>
      <c r="F10">
        <f>C10*Parameters!B23</f>
        <v>22622040000</v>
      </c>
      <c r="G10">
        <f t="shared" si="2"/>
        <v>12026787714.864841</v>
      </c>
      <c r="H10">
        <f t="shared" si="1"/>
        <v>0.21757858127224192</v>
      </c>
    </row>
    <row r="11" spans="1:8" x14ac:dyDescent="0.2">
      <c r="A11">
        <v>10</v>
      </c>
      <c r="B11">
        <v>0.31</v>
      </c>
      <c r="C11">
        <v>0.8</v>
      </c>
      <c r="D11" s="7">
        <f>B11*Parameters!B24</f>
        <v>17435330000</v>
      </c>
      <c r="E11">
        <f t="shared" si="0"/>
        <v>0.31542540330404345</v>
      </c>
      <c r="F11">
        <f>C11*Parameters!B24</f>
        <v>44994400000</v>
      </c>
      <c r="G11">
        <f t="shared" si="2"/>
        <v>23920835484.231956</v>
      </c>
      <c r="H11">
        <f t="shared" si="1"/>
        <v>0.43275574250579357</v>
      </c>
    </row>
    <row r="12" spans="1:8" x14ac:dyDescent="0.2">
      <c r="D12" t="s">
        <v>128</v>
      </c>
      <c r="F12" t="s">
        <v>128</v>
      </c>
      <c r="G12" t="s">
        <v>129</v>
      </c>
    </row>
    <row r="13" spans="1:8" x14ac:dyDescent="0.2">
      <c r="D13" s="8">
        <f>SUM(D2:D11)</f>
        <v>55275605000</v>
      </c>
      <c r="F13" s="8">
        <f>SUM(F2:F11)</f>
        <v>103971815000</v>
      </c>
      <c r="G13">
        <f>D13/F13</f>
        <v>0.53164028155130316</v>
      </c>
    </row>
    <row r="14" spans="1:8" x14ac:dyDescent="0.2">
      <c r="D14">
        <v>55275605000</v>
      </c>
      <c r="G14" t="s">
        <v>130</v>
      </c>
    </row>
    <row r="15" spans="1:8" x14ac:dyDescent="0.2">
      <c r="F15" s="8"/>
      <c r="G15" s="8">
        <f>SUM(G2:G11)</f>
        <v>55275605000.000008</v>
      </c>
    </row>
    <row r="16" spans="1:8" x14ac:dyDescent="0.2">
      <c r="G16" s="8">
        <f>D13-G15</f>
        <v>0</v>
      </c>
    </row>
    <row r="17" spans="1:8" x14ac:dyDescent="0.2">
      <c r="A17" s="2" t="s">
        <v>46</v>
      </c>
      <c r="B17" s="2" t="s">
        <v>220</v>
      </c>
      <c r="C17" s="2" t="s">
        <v>124</v>
      </c>
      <c r="D17" s="2" t="s">
        <v>221</v>
      </c>
      <c r="E17" s="2" t="s">
        <v>222</v>
      </c>
      <c r="F17" s="2" t="s">
        <v>125</v>
      </c>
      <c r="G17" s="2" t="s">
        <v>126</v>
      </c>
      <c r="H17" s="2" t="s">
        <v>127</v>
      </c>
    </row>
    <row r="18" spans="1:8" x14ac:dyDescent="0.2">
      <c r="A18">
        <v>1</v>
      </c>
      <c r="B18">
        <f>(B2+B3)/2</f>
        <v>0.23499999999999999</v>
      </c>
      <c r="C18" s="8">
        <v>0.05</v>
      </c>
      <c r="D18" s="7">
        <f>B18*Parameters!E30</f>
        <v>0</v>
      </c>
      <c r="E18">
        <f>D18/$D$24</f>
        <v>0</v>
      </c>
      <c r="F18">
        <f>C18*Parameters!E30</f>
        <v>0</v>
      </c>
      <c r="G18">
        <v>0</v>
      </c>
      <c r="H18">
        <f>G18/$D$24</f>
        <v>0</v>
      </c>
    </row>
    <row r="19" spans="1:8" x14ac:dyDescent="0.2">
      <c r="A19">
        <v>2</v>
      </c>
      <c r="B19">
        <f>(B4+B5)/2</f>
        <v>0.23499999999999999</v>
      </c>
      <c r="C19" s="8">
        <f>(C4+C5)/2</f>
        <v>0.17499999999999999</v>
      </c>
      <c r="D19" s="7">
        <f>B19*Parameters!E31</f>
        <v>230441082.25</v>
      </c>
      <c r="E19">
        <f t="shared" ref="E19:E22" si="3">D19/$D$24</f>
        <v>1.3269738784901168E-2</v>
      </c>
      <c r="F19">
        <f>C19*Parameters!E31</f>
        <v>171605061.25</v>
      </c>
      <c r="G19">
        <f>F19*$F$26</f>
        <v>73990420.677981764</v>
      </c>
      <c r="H19">
        <f t="shared" ref="H19:H22" si="4">G19/$D$24</f>
        <v>4.2606706468970683E-3</v>
      </c>
    </row>
    <row r="20" spans="1:8" x14ac:dyDescent="0.2">
      <c r="A20">
        <v>3</v>
      </c>
      <c r="B20">
        <f>(B6+B7)/2</f>
        <v>0.26</v>
      </c>
      <c r="C20" s="8">
        <f>(C6+C7)/2</f>
        <v>0.27500000000000002</v>
      </c>
      <c r="D20" s="7">
        <f>B20*Parameters!E32</f>
        <v>401615630</v>
      </c>
      <c r="E20">
        <f t="shared" si="3"/>
        <v>2.312666843081326E-2</v>
      </c>
      <c r="F20">
        <f>C20*Parameters!E32</f>
        <v>424785762.50000006</v>
      </c>
      <c r="G20">
        <f t="shared" ref="G20" si="5">F20*$F$26</f>
        <v>183153556.40707979</v>
      </c>
      <c r="H20">
        <f t="shared" si="4"/>
        <v>1.0546729894329032E-2</v>
      </c>
    </row>
    <row r="21" spans="1:8" x14ac:dyDescent="0.2">
      <c r="A21">
        <v>4</v>
      </c>
      <c r="B21">
        <f>(B8+B9)/2</f>
        <v>0.28500000000000003</v>
      </c>
      <c r="C21" s="8">
        <f>(C8+C9)/2</f>
        <v>0.47500000000000003</v>
      </c>
      <c r="D21" s="7">
        <f>B21*Parameters!E33</f>
        <v>1853564731.5000002</v>
      </c>
      <c r="E21">
        <f t="shared" si="3"/>
        <v>0.10673582838509027</v>
      </c>
      <c r="F21">
        <f>C21*Parameters!E33</f>
        <v>3089274552.5</v>
      </c>
      <c r="G21">
        <f>F21*$F$26</f>
        <v>1331992903.1478894</v>
      </c>
      <c r="H21">
        <f t="shared" si="4"/>
        <v>7.6701592075232722E-2</v>
      </c>
    </row>
    <row r="22" spans="1:8" x14ac:dyDescent="0.2">
      <c r="A22">
        <v>5</v>
      </c>
      <c r="B22">
        <f>(B10+B11)/2</f>
        <v>0.30499999999999999</v>
      </c>
      <c r="C22" s="8">
        <f>(C10+C11)/2</f>
        <v>0.75</v>
      </c>
      <c r="D22" s="7">
        <f>B22*Parameters!E34</f>
        <v>14880288012.75</v>
      </c>
      <c r="E22">
        <f t="shared" si="3"/>
        <v>0.85686776439919532</v>
      </c>
      <c r="F22">
        <f>C22*Parameters!E34</f>
        <v>36590872162.5</v>
      </c>
      <c r="G22">
        <f>F22*$F$26</f>
        <v>15776772576.26705</v>
      </c>
      <c r="H22">
        <f t="shared" si="4"/>
        <v>0.90849100738354127</v>
      </c>
    </row>
    <row r="23" spans="1:8" x14ac:dyDescent="0.2">
      <c r="D23" t="s">
        <v>128</v>
      </c>
      <c r="F23" t="s">
        <v>128</v>
      </c>
      <c r="G23" t="s">
        <v>130</v>
      </c>
    </row>
    <row r="24" spans="1:8" x14ac:dyDescent="0.2">
      <c r="D24" s="8">
        <f>SUM(D18:D22)</f>
        <v>17365909456.5</v>
      </c>
      <c r="F24">
        <f>SUM(F18:F22)</f>
        <v>40276537538.75</v>
      </c>
      <c r="G24">
        <f>SUM(G18:G22)</f>
        <v>17365909456.5</v>
      </c>
    </row>
    <row r="25" spans="1:8" x14ac:dyDescent="0.2">
      <c r="F25" t="s">
        <v>129</v>
      </c>
      <c r="G25" s="8">
        <f>G24-D24</f>
        <v>0</v>
      </c>
    </row>
    <row r="26" spans="1:8" x14ac:dyDescent="0.2">
      <c r="F26">
        <f>D24/F24</f>
        <v>0.43116689064426861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32C7-A46F-F24A-9A98-5D2AB8738C6A}">
  <dimension ref="A1:T297"/>
  <sheetViews>
    <sheetView topLeftCell="A173" zoomScale="88" workbookViewId="0">
      <selection activeCell="N136" sqref="N136"/>
    </sheetView>
  </sheetViews>
  <sheetFormatPr baseColWidth="10" defaultRowHeight="15" x14ac:dyDescent="0.2"/>
  <cols>
    <col min="1" max="1" width="20.5" customWidth="1"/>
    <col min="2" max="2" width="26.1640625" customWidth="1"/>
    <col min="3" max="3" width="14.83203125" bestFit="1" customWidth="1"/>
    <col min="4" max="4" width="11.6640625" bestFit="1" customWidth="1"/>
  </cols>
  <sheetData>
    <row r="1" spans="1:3" x14ac:dyDescent="0.2">
      <c r="A1" s="54" t="s">
        <v>133</v>
      </c>
      <c r="B1" s="54"/>
      <c r="C1" s="54"/>
    </row>
    <row r="2" spans="1:3" x14ac:dyDescent="0.2">
      <c r="A2" s="37" t="s">
        <v>74</v>
      </c>
      <c r="B2" s="37" t="s">
        <v>75</v>
      </c>
      <c r="C2" s="37" t="s">
        <v>105</v>
      </c>
    </row>
    <row r="3" spans="1:3" x14ac:dyDescent="0.2">
      <c r="A3" t="s">
        <v>131</v>
      </c>
      <c r="B3">
        <f>'Income universal'!AV3</f>
        <v>35.993589568852563</v>
      </c>
      <c r="C3">
        <f>(B3-$B$3)*1000</f>
        <v>0</v>
      </c>
    </row>
    <row r="4" spans="1:3" x14ac:dyDescent="0.2">
      <c r="A4" t="s">
        <v>81</v>
      </c>
      <c r="B4">
        <f>'Income universal'!BD3</f>
        <v>36.013255853078014</v>
      </c>
      <c r="C4">
        <f t="shared" ref="C4:C6" si="0">(B4-$B$3)*1000</f>
        <v>19.666284225451136</v>
      </c>
    </row>
    <row r="5" spans="1:3" x14ac:dyDescent="0.2">
      <c r="A5" t="s">
        <v>132</v>
      </c>
      <c r="B5">
        <f>'Income means-test 4 deciles'!AS3</f>
        <v>35.993211791019839</v>
      </c>
      <c r="C5">
        <f t="shared" si="0"/>
        <v>-0.37777783272474608</v>
      </c>
    </row>
    <row r="6" spans="1:3" x14ac:dyDescent="0.2">
      <c r="A6" t="s">
        <v>80</v>
      </c>
      <c r="B6">
        <f>'Income means-test 4 deciles'!BA3</f>
        <v>36.011160284552709</v>
      </c>
      <c r="C6">
        <f t="shared" si="0"/>
        <v>17.570715700145456</v>
      </c>
    </row>
    <row r="7" spans="1:3" x14ac:dyDescent="0.2">
      <c r="A7" s="38" t="s">
        <v>147</v>
      </c>
    </row>
    <row r="13" spans="1:3" x14ac:dyDescent="0.2">
      <c r="A13" s="54" t="s">
        <v>134</v>
      </c>
      <c r="B13" s="54"/>
      <c r="C13" s="54"/>
    </row>
    <row r="14" spans="1:3" x14ac:dyDescent="0.2">
      <c r="A14" s="37" t="s">
        <v>74</v>
      </c>
      <c r="B14" s="37" t="s">
        <v>75</v>
      </c>
      <c r="C14" s="37" t="s">
        <v>105</v>
      </c>
    </row>
    <row r="15" spans="1:3" x14ac:dyDescent="0.2">
      <c r="A15" t="s">
        <v>131</v>
      </c>
      <c r="B15">
        <f>'Income universal'!AV3</f>
        <v>35.993589568852563</v>
      </c>
      <c r="C15">
        <f>(B15-$B$3)*1000</f>
        <v>0</v>
      </c>
    </row>
    <row r="16" spans="1:3" x14ac:dyDescent="0.2">
      <c r="A16" t="s">
        <v>81</v>
      </c>
      <c r="B16">
        <f>'Income universal'!BD3</f>
        <v>36.013255853078014</v>
      </c>
      <c r="C16">
        <f t="shared" ref="C16:C18" si="1">(B16-$B$3)*1000</f>
        <v>19.666284225451136</v>
      </c>
    </row>
    <row r="17" spans="1:3" x14ac:dyDescent="0.2">
      <c r="A17" t="s">
        <v>132</v>
      </c>
      <c r="B17">
        <f>'Income means-test 5 deciles'!AS3</f>
        <v>35.993957027819505</v>
      </c>
      <c r="C17">
        <f t="shared" si="1"/>
        <v>0.36745896694156954</v>
      </c>
    </row>
    <row r="18" spans="1:3" x14ac:dyDescent="0.2">
      <c r="A18" t="s">
        <v>80</v>
      </c>
      <c r="B18">
        <f>'Income means-test 5 deciles'!BA3</f>
        <v>36.012333195416133</v>
      </c>
      <c r="C18">
        <f t="shared" si="1"/>
        <v>18.743626563569649</v>
      </c>
    </row>
    <row r="19" spans="1:3" x14ac:dyDescent="0.2">
      <c r="A19" s="38" t="s">
        <v>146</v>
      </c>
    </row>
    <row r="23" spans="1:3" x14ac:dyDescent="0.2">
      <c r="A23" t="s">
        <v>244</v>
      </c>
    </row>
    <row r="24" spans="1:3" x14ac:dyDescent="0.2">
      <c r="A24" s="51" t="s">
        <v>197</v>
      </c>
      <c r="B24" s="51"/>
    </row>
    <row r="25" spans="1:3" x14ac:dyDescent="0.2">
      <c r="A25" s="9" t="s">
        <v>108</v>
      </c>
      <c r="B25" s="6" t="s">
        <v>245</v>
      </c>
      <c r="C25" t="s">
        <v>246</v>
      </c>
    </row>
    <row r="26" spans="1:3" x14ac:dyDescent="0.2">
      <c r="A26" s="6">
        <f>'Income universal'!AL4-'Income universal'!AJ4</f>
        <v>271.74312125524466</v>
      </c>
      <c r="B26" s="6">
        <f>'Income means-test 3 deciles'!AJ4-'Income universal'!AJ4</f>
        <v>271.74312125524466</v>
      </c>
      <c r="C26">
        <f>'Income means-test 3 deciles'!AI4-'Income universal'!AJ4</f>
        <v>34.447146207118749</v>
      </c>
    </row>
    <row r="27" spans="1:3" x14ac:dyDescent="0.2">
      <c r="A27" s="6">
        <f>'Income universal'!AL5-'Income universal'!AJ5</f>
        <v>822.15841761081174</v>
      </c>
      <c r="B27" s="6">
        <f>'Income means-test 3 deciles'!AJ5-'Income universal'!AJ5</f>
        <v>855.36914443992646</v>
      </c>
      <c r="C27">
        <f>'Income means-test 3 deciles'!AI5-'Income universal'!AJ5</f>
        <v>137.43051751243547</v>
      </c>
    </row>
    <row r="28" spans="1:3" x14ac:dyDescent="0.2">
      <c r="A28" s="6">
        <f>'Income universal'!AL6-'Income universal'!AJ6</f>
        <v>1544.2219325303959</v>
      </c>
      <c r="B28" s="6">
        <f>'Income means-test 3 deciles'!AJ6-'Income universal'!AJ6</f>
        <v>1648.1152522075281</v>
      </c>
      <c r="C28">
        <f>'Income means-test 3 deciles'!AI6-'Income universal'!AJ6</f>
        <v>299.64450719716478</v>
      </c>
    </row>
    <row r="29" spans="1:3" x14ac:dyDescent="0.2">
      <c r="A29" s="6">
        <f>'Income universal'!AL7-'Income universal'!AJ7</f>
        <v>2167.4502728050356</v>
      </c>
      <c r="B29" s="6">
        <f>'Income means-test 3 deciles'!AJ7-'Income universal'!AJ7</f>
        <v>0.22581706545315683</v>
      </c>
      <c r="C29">
        <f>'Income means-test 3 deciles'!AI7-'Income universal'!AJ7</f>
        <v>-1892.4705775214534</v>
      </c>
    </row>
    <row r="30" spans="1:3" x14ac:dyDescent="0.2">
      <c r="A30" s="6">
        <f>'Income universal'!AL8-'Income universal'!AJ8</f>
        <v>2488.7150282204966</v>
      </c>
      <c r="B30" s="6">
        <f>'Income means-test 3 deciles'!AJ8-'Income universal'!AJ8</f>
        <v>801.86842231851188</v>
      </c>
      <c r="C30">
        <f>'Income means-test 3 deciles'!AI8-'Income universal'!AJ8</f>
        <v>-1371.3680390519221</v>
      </c>
    </row>
    <row r="31" spans="1:3" x14ac:dyDescent="0.2">
      <c r="A31" s="6">
        <f>'Income universal'!AL9-'Income universal'!AJ9</f>
        <v>2800.9971588044864</v>
      </c>
      <c r="B31" s="6">
        <f>'Income means-test 3 deciles'!AJ9-'Income universal'!AJ9</f>
        <v>1609.3242161465387</v>
      </c>
      <c r="C31">
        <f>'Income means-test 3 deciles'!AI9-'Income universal'!AJ9</f>
        <v>-836.60835736368608</v>
      </c>
    </row>
    <row r="32" spans="1:3" x14ac:dyDescent="0.2">
      <c r="A32" s="6">
        <f>'Income universal'!AL10-'Income universal'!AJ10</f>
        <v>1998.1631291855883</v>
      </c>
      <c r="B32" s="6">
        <f>'Income means-test 3 deciles'!AJ10-'Income universal'!AJ10</f>
        <v>1434.7073082810239</v>
      </c>
      <c r="C32">
        <f>'Income means-test 3 deciles'!AI10-'Income universal'!AJ10</f>
        <v>-310.16139660125191</v>
      </c>
    </row>
    <row r="33" spans="1:14" x14ac:dyDescent="0.2">
      <c r="A33" s="6">
        <f>'Income universal'!AL11-'Income universal'!AJ11</f>
        <v>-84.952400616035447</v>
      </c>
      <c r="B33" s="6">
        <f>'Income means-test 3 deciles'!AJ11-'Income universal'!AJ11</f>
        <v>203.41338390091551</v>
      </c>
      <c r="C33">
        <f>'Income means-test 3 deciles'!AI11-'Income universal'!AJ11</f>
        <v>277.59690929704811</v>
      </c>
    </row>
    <row r="34" spans="1:14" x14ac:dyDescent="0.2">
      <c r="A34" s="6">
        <f>'Income universal'!AL12-'Income universal'!AJ12</f>
        <v>-3175.560921401353</v>
      </c>
      <c r="B34" s="6">
        <f>'Income means-test 3 deciles'!AJ12-'Income universal'!AJ12</f>
        <v>-1780.8368945872644</v>
      </c>
      <c r="C34">
        <f>'Income means-test 3 deciles'!AI12-'Income universal'!AJ12</f>
        <v>992.17837692299508</v>
      </c>
    </row>
    <row r="35" spans="1:14" x14ac:dyDescent="0.2">
      <c r="A35" s="6">
        <f>'Income universal'!AL13-'Income universal'!AJ13</f>
        <v>-8832.9357383946772</v>
      </c>
      <c r="B35" s="6">
        <f>'Income means-test 3 deciles'!AJ13-'Income universal'!AJ13</f>
        <v>-5043.929771027877</v>
      </c>
      <c r="C35">
        <f>'Income means-test 3 deciles'!AI13-'Income universal'!AJ13</f>
        <v>2669.3109134015685</v>
      </c>
    </row>
    <row r="39" spans="1:14" x14ac:dyDescent="0.2">
      <c r="A39" s="51"/>
      <c r="B39" s="51"/>
    </row>
    <row r="40" spans="1:14" x14ac:dyDescent="0.2">
      <c r="A40" s="9"/>
      <c r="B40" s="6"/>
    </row>
    <row r="41" spans="1:14" x14ac:dyDescent="0.2">
      <c r="A41" s="6"/>
      <c r="B41" s="6"/>
      <c r="D41" s="39"/>
    </row>
    <row r="42" spans="1:14" x14ac:dyDescent="0.2">
      <c r="A42" s="53" t="s">
        <v>198</v>
      </c>
      <c r="B42" s="53"/>
      <c r="C42" s="53"/>
      <c r="E42" s="39"/>
      <c r="F42" t="s">
        <v>149</v>
      </c>
      <c r="M42" s="39"/>
      <c r="N42" t="s">
        <v>224</v>
      </c>
    </row>
    <row r="43" spans="1:14" x14ac:dyDescent="0.2">
      <c r="A43" s="40" t="s">
        <v>90</v>
      </c>
      <c r="B43" s="40" t="s">
        <v>148</v>
      </c>
      <c r="C43" s="40" t="s">
        <v>107</v>
      </c>
    </row>
    <row r="44" spans="1:14" x14ac:dyDescent="0.2">
      <c r="A44" s="33">
        <v>1</v>
      </c>
      <c r="B44" s="41">
        <f>'Income means-test 3 deciles'!W4</f>
        <v>8.6140021647360995E-2</v>
      </c>
      <c r="C44" s="41">
        <f>'Income means-test 3 deciles'!Z4</f>
        <v>0</v>
      </c>
    </row>
    <row r="45" spans="1:14" x14ac:dyDescent="0.2">
      <c r="A45" s="33">
        <v>2</v>
      </c>
      <c r="B45" s="41">
        <f>'Income means-test 3 deciles'!W5</f>
        <v>7.5803219049677684E-2</v>
      </c>
      <c r="C45" s="41">
        <f>'Income means-test 3 deciles'!Z5</f>
        <v>1.831820214457534E-2</v>
      </c>
    </row>
    <row r="46" spans="1:14" x14ac:dyDescent="0.2">
      <c r="A46" s="33">
        <v>3</v>
      </c>
      <c r="B46" s="41">
        <f>'Income means-test 3 deciles'!W6</f>
        <v>7.924881991557213E-2</v>
      </c>
      <c r="C46" s="41">
        <f>'Income means-test 3 deciles'!Z6</f>
        <v>2.7477303216863015E-2</v>
      </c>
    </row>
    <row r="47" spans="1:14" x14ac:dyDescent="0.2">
      <c r="A47" s="33">
        <v>4</v>
      </c>
      <c r="B47" s="41">
        <f>'Income means-test 3 deciles'!W7</f>
        <v>8.2694420781466549E-2</v>
      </c>
      <c r="C47" s="41">
        <f>'Income means-test 3 deciles'!Z7</f>
        <v>3.6636404289150687E-2</v>
      </c>
    </row>
    <row r="48" spans="1:14" x14ac:dyDescent="0.2">
      <c r="A48" s="33">
        <v>5</v>
      </c>
      <c r="B48" s="41">
        <f>'Income means-test 3 deciles'!W8</f>
        <v>8.6140021647361009E-2</v>
      </c>
      <c r="C48" s="41">
        <f>'Income means-test 3 deciles'!Z8</f>
        <v>4.5795505361438352E-2</v>
      </c>
    </row>
    <row r="49" spans="1:4" x14ac:dyDescent="0.2">
      <c r="A49" s="33">
        <v>6</v>
      </c>
      <c r="B49" s="41">
        <f>'Income means-test 3 deciles'!W9</f>
        <v>9.3031223379149888E-2</v>
      </c>
      <c r="C49" s="41">
        <f>'Income means-test 3 deciles'!Z9</f>
        <v>5.4954606433726023E-2</v>
      </c>
    </row>
    <row r="50" spans="1:4" x14ac:dyDescent="0.2">
      <c r="A50" s="33">
        <v>7</v>
      </c>
      <c r="B50" s="41">
        <f>'Income means-test 3 deciles'!W10</f>
        <v>9.6476824245044335E-2</v>
      </c>
      <c r="C50" s="41">
        <f>'Income means-test 3 deciles'!Z10</f>
        <v>7.327280857830136E-2</v>
      </c>
    </row>
    <row r="51" spans="1:4" x14ac:dyDescent="0.2">
      <c r="A51" s="33">
        <v>8</v>
      </c>
      <c r="B51" s="41">
        <f>'Income means-test 3 deciles'!W11</f>
        <v>9.9922425110938753E-2</v>
      </c>
      <c r="C51" s="41">
        <f>'Income means-test 3 deciles'!Z11</f>
        <v>0.10075011179516438</v>
      </c>
    </row>
    <row r="52" spans="1:4" x14ac:dyDescent="0.2">
      <c r="A52" s="33">
        <v>9</v>
      </c>
      <c r="B52" s="41">
        <f>'Income means-test 3 deciles'!W12</f>
        <v>0.1033680259768332</v>
      </c>
      <c r="C52" s="41">
        <f>'Income means-test 3 deciles'!Z12</f>
        <v>0.12822741501202736</v>
      </c>
    </row>
    <row r="53" spans="1:4" x14ac:dyDescent="0.2">
      <c r="A53" s="33">
        <v>10</v>
      </c>
      <c r="B53" s="41">
        <f>'Income means-test 3 deciles'!W13</f>
        <v>0.10681362684272765</v>
      </c>
      <c r="C53" s="41">
        <f>'Income means-test 3 deciles'!Z13</f>
        <v>0.14654561715660272</v>
      </c>
    </row>
    <row r="59" spans="1:4" x14ac:dyDescent="0.2">
      <c r="A59" s="51" t="s">
        <v>199</v>
      </c>
      <c r="B59" s="51"/>
      <c r="C59" s="51"/>
    </row>
    <row r="60" spans="1:4" x14ac:dyDescent="0.2">
      <c r="A60" s="9" t="s">
        <v>108</v>
      </c>
      <c r="B60" s="9" t="s">
        <v>232</v>
      </c>
      <c r="C60" s="9" t="s">
        <v>109</v>
      </c>
      <c r="D60" s="9"/>
    </row>
    <row r="61" spans="1:4" x14ac:dyDescent="0.2">
      <c r="A61" s="32">
        <f>('Income universal'!AR4-'Income universal'!AN4)*1000</f>
        <v>4.6916148635665067</v>
      </c>
      <c r="B61" s="35">
        <f>('Income means-test 3 deciles'!AK4-'Income universal'!AN4)*1000</f>
        <v>0.60966833050235536</v>
      </c>
      <c r="C61" s="8">
        <f>('Income means-test 3 deciles'!AO4-'Income universal'!AN4)*1000</f>
        <v>4.6916148635665067</v>
      </c>
    </row>
    <row r="62" spans="1:4" x14ac:dyDescent="0.2">
      <c r="A62" s="32">
        <f>('Income universal'!AR5-'Income universal'!AN5)*1000</f>
        <v>4.5446916391065351</v>
      </c>
      <c r="B62" s="35">
        <f>('Income means-test 3 deciles'!AK5-'Income universal'!AN5)*1000</f>
        <v>0.78201285527113029</v>
      </c>
      <c r="C62" s="8">
        <f>('Income means-test 3 deciles'!AO5-'Income universal'!AN5)*1000</f>
        <v>4.7217708417366389</v>
      </c>
    </row>
    <row r="63" spans="1:4" x14ac:dyDescent="0.2">
      <c r="A63" s="32">
        <f>('Income universal'!AR6-'Income universal'!AN6)*1000</f>
        <v>3.996611634520697</v>
      </c>
      <c r="B63" s="35">
        <f>('Income means-test 3 deciles'!AK6-'Income universal'!AN6)*1000</f>
        <v>0.79818237900441957</v>
      </c>
      <c r="C63" s="8">
        <f>('Income means-test 3 deciles'!AO6-'Income universal'!AN6)*1000</f>
        <v>4.2554692613618883</v>
      </c>
    </row>
    <row r="64" spans="1:4" x14ac:dyDescent="0.2">
      <c r="A64" s="32">
        <f>('Income universal'!AR7-'Income universal'!AN7)*1000</f>
        <v>3.3758797270935226</v>
      </c>
      <c r="B64" s="35">
        <f>('Income means-test 3 deciles'!AK7-'Income universal'!AN7)*1000</f>
        <v>-3.1438449076324204</v>
      </c>
      <c r="C64" s="8">
        <f>('Income means-test 3 deciles'!AO7-'Income universal'!AN7)*1000</f>
        <v>3.637686072366364E-4</v>
      </c>
    </row>
    <row r="65" spans="1:3" x14ac:dyDescent="0.2">
      <c r="A65" s="32">
        <f>('Income universal'!AR8-'Income universal'!AN8)*1000</f>
        <v>2.8548860285964039</v>
      </c>
      <c r="B65" s="35">
        <f>('Income means-test 3 deciles'!AK8-'Income universal'!AN8)*1000</f>
        <v>-1.6498661198256492</v>
      </c>
      <c r="C65" s="8">
        <f>('Income means-test 3 deciles'!AO8-'Income universal'!AN8)*1000</f>
        <v>0.93882884646889764</v>
      </c>
    </row>
    <row r="66" spans="1:3" x14ac:dyDescent="0.2">
      <c r="A66" s="32">
        <f>('Income universal'!AR9-'Income universal'!AN9)*1000</f>
        <v>2.6450133166524559</v>
      </c>
      <c r="B66" s="35">
        <f>('Income means-test 3 deciles'!AK9-'Income universal'!AN9)*1000</f>
        <v>-0.82080684539942439</v>
      </c>
      <c r="C66" s="8">
        <f>('Income means-test 3 deciles'!AO9-'Income universal'!AN9)*1000</f>
        <v>1.5385143728452455</v>
      </c>
    </row>
    <row r="67" spans="1:3" x14ac:dyDescent="0.2">
      <c r="A67" s="32">
        <f>('Income universal'!AR10-'Income universal'!AN10)*1000</f>
        <v>1.591235263620483</v>
      </c>
      <c r="B67" s="35">
        <f>('Income means-test 3 deciles'!AK10-'Income universal'!AN10)*1000</f>
        <v>-0.25225872080136824</v>
      </c>
      <c r="C67" s="8">
        <f>('Income means-test 3 deciles'!AO10-'Income universal'!AN10)*1000</f>
        <v>1.1483568381098763</v>
      </c>
    </row>
    <row r="68" spans="1:3" x14ac:dyDescent="0.2">
      <c r="A68" s="32">
        <f>('Income universal'!AR11-'Income universal'!AN11)*1000</f>
        <v>-5.6089572444406599E-2</v>
      </c>
      <c r="B68" s="35">
        <f>('Income means-test 3 deciles'!AK11-'Income universal'!AN11)*1000</f>
        <v>0.18276310525777717</v>
      </c>
      <c r="C68" s="8">
        <f>('Income means-test 3 deciles'!AO11-'Income universal'!AN11)*1000</f>
        <v>0.13400013476783101</v>
      </c>
    </row>
    <row r="69" spans="1:3" x14ac:dyDescent="0.2">
      <c r="A69" s="32">
        <f>('Income universal'!AR12-'Income universal'!AN12)*1000</f>
        <v>-1.6446745830460685</v>
      </c>
      <c r="B69" s="35">
        <f>('Income means-test 3 deciles'!AK12-'Income universal'!AN12)*1000</f>
        <v>0.5002879148952033</v>
      </c>
      <c r="C69" s="8">
        <f>('Income means-test 3 deciles'!AO12-'Income universal'!AN12)*1000</f>
        <v>-0.91399423877769337</v>
      </c>
    </row>
    <row r="70" spans="1:3" x14ac:dyDescent="0.2">
      <c r="A70" s="32">
        <f>('Income universal'!AR13-'Income universal'!AN13)*1000</f>
        <v>-2.3328840922096639</v>
      </c>
      <c r="B70" s="35">
        <f>('Income means-test 3 deciles'!AK13-'Income universal'!AN13)*1000</f>
        <v>0.67522906585981701</v>
      </c>
      <c r="C70" s="8">
        <f>('Income means-test 3 deciles'!AO13-'Income universal'!AN13)*1000</f>
        <v>-1.3129851167925644</v>
      </c>
    </row>
    <row r="77" spans="1:3" x14ac:dyDescent="0.2">
      <c r="A77" s="51" t="s">
        <v>194</v>
      </c>
      <c r="B77" s="51"/>
      <c r="C77" s="51"/>
    </row>
    <row r="78" spans="1:3" x14ac:dyDescent="0.2">
      <c r="A78" s="9" t="s">
        <v>74</v>
      </c>
      <c r="B78" s="9" t="s">
        <v>75</v>
      </c>
      <c r="C78" s="9" t="s">
        <v>76</v>
      </c>
    </row>
    <row r="79" spans="1:3" x14ac:dyDescent="0.2">
      <c r="A79" s="43" t="s">
        <v>233</v>
      </c>
      <c r="B79" s="43">
        <f>'Income means-test 4 deciles'!AS3</f>
        <v>35.993211791019839</v>
      </c>
      <c r="C79" s="46">
        <f>(B79-B$83)*1000</f>
        <v>-0.37777783272474608</v>
      </c>
    </row>
    <row r="80" spans="1:3" x14ac:dyDescent="0.2">
      <c r="A80" s="43" t="s">
        <v>234</v>
      </c>
      <c r="B80" s="43">
        <f>'Income means-test 5 deciles'!AS3</f>
        <v>35.993957027819505</v>
      </c>
      <c r="C80" s="46">
        <f t="shared" ref="C80:C82" si="2">(B80-B$83)*1000</f>
        <v>0.36745896694156954</v>
      </c>
    </row>
    <row r="81" spans="1:3" x14ac:dyDescent="0.2">
      <c r="A81" s="43" t="s">
        <v>235</v>
      </c>
      <c r="B81" s="43">
        <f>'Income means-test 4 deciles'!BA3</f>
        <v>36.011160284552709</v>
      </c>
      <c r="C81" s="46">
        <f t="shared" si="2"/>
        <v>17.570715700145456</v>
      </c>
    </row>
    <row r="82" spans="1:3" x14ac:dyDescent="0.2">
      <c r="A82" s="43" t="s">
        <v>236</v>
      </c>
      <c r="B82" s="43">
        <f>'Income means-test 5 deciles'!BA3</f>
        <v>36.012333195416133</v>
      </c>
      <c r="C82" s="46">
        <f t="shared" si="2"/>
        <v>18.743626563569649</v>
      </c>
    </row>
    <row r="83" spans="1:3" x14ac:dyDescent="0.2">
      <c r="A83" s="33" t="s">
        <v>153</v>
      </c>
      <c r="B83" s="34">
        <f>'Income universal'!AV3</f>
        <v>35.993589568852563</v>
      </c>
      <c r="C83" s="8">
        <f>(B83-$B$83)*1000</f>
        <v>0</v>
      </c>
    </row>
    <row r="84" spans="1:3" x14ac:dyDescent="0.2">
      <c r="A84" s="33" t="s">
        <v>108</v>
      </c>
      <c r="B84" s="16">
        <f>'Income universal'!BD3</f>
        <v>36.013255853078014</v>
      </c>
      <c r="C84" s="8">
        <f>(B84-$B$83)*1000</f>
        <v>19.666284225451136</v>
      </c>
    </row>
    <row r="85" spans="1:3" x14ac:dyDescent="0.2">
      <c r="A85" s="33" t="s">
        <v>150</v>
      </c>
      <c r="B85">
        <f>'Income means-test 3 deciles'!AS3</f>
        <v>35.991270935909697</v>
      </c>
      <c r="C85" s="8">
        <f>(B85-$B$83)*1000</f>
        <v>-2.3186329428668273</v>
      </c>
    </row>
    <row r="86" spans="1:3" x14ac:dyDescent="0.2">
      <c r="A86" s="33" t="s">
        <v>154</v>
      </c>
      <c r="B86">
        <f>'Income means-test 3 deciles'!BA3</f>
        <v>36.008791508424459</v>
      </c>
      <c r="C86" s="8">
        <f>(B86-$B$83)*1000</f>
        <v>15.201939571895196</v>
      </c>
    </row>
    <row r="87" spans="1:3" x14ac:dyDescent="0.2">
      <c r="A87" s="33" t="s">
        <v>151</v>
      </c>
      <c r="B87" s="16">
        <f>'Income universal'!AZ3</f>
        <v>46.39316655921008</v>
      </c>
      <c r="C87" s="8">
        <f>(B87-$B$87)*1000</f>
        <v>0</v>
      </c>
    </row>
    <row r="88" spans="1:3" x14ac:dyDescent="0.2">
      <c r="A88" t="s">
        <v>116</v>
      </c>
      <c r="B88" s="23">
        <f>'Income universal'!BH3</f>
        <v>46.500385764886481</v>
      </c>
      <c r="C88" s="8">
        <f>(B88-$B$87)*1000</f>
        <v>107.21920567640097</v>
      </c>
    </row>
    <row r="89" spans="1:3" x14ac:dyDescent="0.2">
      <c r="A89" t="s">
        <v>152</v>
      </c>
      <c r="B89">
        <f>'Income means-test 3 deciles'!AW3</f>
        <v>46.375890458556491</v>
      </c>
      <c r="C89" s="8">
        <f>(B89-$B$87)*1000</f>
        <v>-17.27610065358931</v>
      </c>
    </row>
    <row r="90" spans="1:3" x14ac:dyDescent="0.2">
      <c r="A90" t="s">
        <v>120</v>
      </c>
      <c r="B90">
        <f>'Income means-test 3 deciles'!BE3</f>
        <v>46.471705836181485</v>
      </c>
      <c r="C90" s="8">
        <f>(B90-$B$87)*1000</f>
        <v>78.539276971405059</v>
      </c>
    </row>
    <row r="91" spans="1:3" x14ac:dyDescent="0.2">
      <c r="A91" s="33" t="s">
        <v>186</v>
      </c>
      <c r="B91">
        <f>SUM('Income universal'!AP4:AP13)</f>
        <v>9.9996183043650539</v>
      </c>
      <c r="C91" s="8">
        <f>(B91-B$91)*10000000</f>
        <v>0</v>
      </c>
    </row>
    <row r="92" spans="1:3" x14ac:dyDescent="0.2">
      <c r="A92" t="s">
        <v>187</v>
      </c>
      <c r="B92">
        <f>SUM('Income universal'!AT4:AT13)</f>
        <v>9.9996343476773575</v>
      </c>
      <c r="C92" s="8">
        <f>(B92-B$91)*10000000</f>
        <v>160.43312303537505</v>
      </c>
    </row>
    <row r="93" spans="1:3" x14ac:dyDescent="0.2">
      <c r="A93" t="s">
        <v>188</v>
      </c>
      <c r="B93">
        <f>SUM('Income means-test 3 deciles'!AM4:AM13)</f>
        <v>9.9996184704256148</v>
      </c>
      <c r="C93" s="8">
        <f t="shared" ref="C93:C94" si="3">(B93-B$91)*10000000</f>
        <v>1.6606056085777254</v>
      </c>
    </row>
    <row r="94" spans="1:3" x14ac:dyDescent="0.2">
      <c r="A94" t="s">
        <v>189</v>
      </c>
      <c r="B94">
        <f>SUM('Income means-test 3 deciles'!AQ4:AQ13)</f>
        <v>9.9996325957672116</v>
      </c>
      <c r="C94" s="8">
        <f t="shared" si="3"/>
        <v>142.91402157695643</v>
      </c>
    </row>
    <row r="98" spans="1:3" x14ac:dyDescent="0.2">
      <c r="A98" s="51" t="s">
        <v>193</v>
      </c>
      <c r="B98" s="51"/>
      <c r="C98" s="51"/>
    </row>
    <row r="99" spans="1:3" x14ac:dyDescent="0.2">
      <c r="A99" s="9" t="s">
        <v>74</v>
      </c>
      <c r="B99" s="9" t="s">
        <v>75</v>
      </c>
      <c r="C99" s="9" t="s">
        <v>76</v>
      </c>
    </row>
    <row r="100" spans="1:3" x14ac:dyDescent="0.2">
      <c r="A100" s="33" t="s">
        <v>153</v>
      </c>
      <c r="B100">
        <f>'Income universal'!AX3</f>
        <v>18.971178603227191</v>
      </c>
      <c r="C100">
        <f>(B100-$B$100)*1000</f>
        <v>0</v>
      </c>
    </row>
    <row r="101" spans="1:3" x14ac:dyDescent="0.2">
      <c r="A101" t="s">
        <v>108</v>
      </c>
      <c r="B101">
        <f>'Income universal'!BF3</f>
        <v>18.976406907075258</v>
      </c>
      <c r="C101">
        <f>(B101-$B$100)*1000</f>
        <v>5.2283038480673838</v>
      </c>
    </row>
    <row r="102" spans="1:3" x14ac:dyDescent="0.2">
      <c r="A102" t="s">
        <v>150</v>
      </c>
      <c r="B102">
        <f>'Income means-test 3 deciles'!AU3</f>
        <v>18.970572767069218</v>
      </c>
      <c r="C102">
        <f>(B102-$B$100)*1000</f>
        <v>-0.60583615797327184</v>
      </c>
    </row>
    <row r="103" spans="1:3" x14ac:dyDescent="0.2">
      <c r="A103" t="s">
        <v>154</v>
      </c>
      <c r="B103">
        <f>'Income means-test 3 deciles'!BC3</f>
        <v>18.975229858866875</v>
      </c>
      <c r="C103">
        <f>(B103-$B$100)*1000</f>
        <v>4.0512556396841148</v>
      </c>
    </row>
    <row r="104" spans="1:3" x14ac:dyDescent="0.2">
      <c r="A104" s="33" t="s">
        <v>151</v>
      </c>
      <c r="B104" s="16">
        <f>'Income universal'!BB3</f>
        <v>21.517703781866494</v>
      </c>
      <c r="C104" s="16">
        <f>B104-B$104</f>
        <v>0</v>
      </c>
    </row>
    <row r="105" spans="1:3" x14ac:dyDescent="0.2">
      <c r="A105" t="s">
        <v>116</v>
      </c>
      <c r="B105">
        <f>'Income universal'!BJ3</f>
        <v>21.543792806672382</v>
      </c>
      <c r="C105" s="16">
        <f>B105-B$104</f>
        <v>2.6089024805887817E-2</v>
      </c>
    </row>
    <row r="106" spans="1:3" x14ac:dyDescent="0.2">
      <c r="A106" t="s">
        <v>152</v>
      </c>
      <c r="B106">
        <f>'Income means-test 3 deciles'!AY3</f>
        <v>21.513718013699116</v>
      </c>
      <c r="C106" s="16">
        <f>B106-B$104</f>
        <v>-3.9857681673787226E-3</v>
      </c>
    </row>
    <row r="107" spans="1:3" x14ac:dyDescent="0.2">
      <c r="A107" t="s">
        <v>120</v>
      </c>
      <c r="B107">
        <f>'Income means-test 3 deciles'!BG3</f>
        <v>21.537018720520212</v>
      </c>
      <c r="C107" s="16">
        <f>B107-B$104</f>
        <v>1.9314938653717917E-2</v>
      </c>
    </row>
    <row r="108" spans="1:3" x14ac:dyDescent="0.2">
      <c r="A108" s="33" t="s">
        <v>186</v>
      </c>
      <c r="B108">
        <f>SUM('Income universal'!CH4:CH13)</f>
        <v>9.9998091475770252</v>
      </c>
      <c r="C108" s="16">
        <f>(B108-B$108)*1000</f>
        <v>0</v>
      </c>
    </row>
    <row r="109" spans="1:3" x14ac:dyDescent="0.2">
      <c r="A109" t="s">
        <v>187</v>
      </c>
      <c r="B109">
        <f>SUM('Income universal'!CI4:CI13)</f>
        <v>9.9998171696413394</v>
      </c>
      <c r="C109" s="16">
        <f>(B109-B$108)*1000</f>
        <v>8.0220643141615255E-3</v>
      </c>
    </row>
    <row r="110" spans="1:3" x14ac:dyDescent="0.2">
      <c r="A110" t="s">
        <v>188</v>
      </c>
      <c r="B110">
        <f>SUM('Income means-test 3 deciles'!BI4:BI13)</f>
        <v>9.9998092306525042</v>
      </c>
      <c r="C110" s="16">
        <f t="shared" ref="C110:C111" si="4">(B110-B$108)*1000</f>
        <v>8.3075478940486391E-5</v>
      </c>
    </row>
    <row r="111" spans="1:3" x14ac:dyDescent="0.2">
      <c r="A111" t="s">
        <v>189</v>
      </c>
      <c r="B111">
        <f>SUM('Income means-test 3 deciles'!BJ4:BJ13)</f>
        <v>9.9998162936777764</v>
      </c>
      <c r="C111" s="16">
        <f t="shared" si="4"/>
        <v>7.1461007511430807E-3</v>
      </c>
    </row>
    <row r="114" spans="1:4" x14ac:dyDescent="0.2">
      <c r="A114" s="51" t="s">
        <v>192</v>
      </c>
      <c r="B114" s="51"/>
      <c r="C114" s="51"/>
    </row>
    <row r="115" spans="1:4" x14ac:dyDescent="0.2">
      <c r="A115" s="9" t="s">
        <v>74</v>
      </c>
      <c r="B115" s="9" t="s">
        <v>75</v>
      </c>
      <c r="C115" s="9" t="s">
        <v>76</v>
      </c>
    </row>
    <row r="116" spans="1:4" x14ac:dyDescent="0.2">
      <c r="A116" s="33" t="s">
        <v>153</v>
      </c>
      <c r="B116" s="16">
        <f>'Income universal'!AY3</f>
        <v>3.5275243714055806</v>
      </c>
      <c r="C116" s="16">
        <f>(B116-B$116)*1000</f>
        <v>0</v>
      </c>
    </row>
    <row r="117" spans="1:4" x14ac:dyDescent="0.2">
      <c r="A117" t="s">
        <v>108</v>
      </c>
      <c r="B117" s="18">
        <f>'Income universal'!BG3</f>
        <v>3.5320690630446872</v>
      </c>
      <c r="C117" s="16">
        <f>(B117-B$116)*1000</f>
        <v>4.5446916391065351</v>
      </c>
    </row>
    <row r="118" spans="1:4" x14ac:dyDescent="0.2">
      <c r="A118" t="s">
        <v>150</v>
      </c>
      <c r="B118">
        <f>'Income means-test 3 deciles'!AV3</f>
        <v>3.5283063842608517</v>
      </c>
      <c r="C118" s="16">
        <f>(B118-B$116)*1000</f>
        <v>0.78201285527113029</v>
      </c>
    </row>
    <row r="119" spans="1:4" x14ac:dyDescent="0.2">
      <c r="A119" t="s">
        <v>154</v>
      </c>
      <c r="B119" s="48">
        <f>'Income means-test 3 deciles'!BD3</f>
        <v>3.5322461422473173</v>
      </c>
      <c r="C119" s="16">
        <f>(B119-B$116)*1000</f>
        <v>4.7217708417366389</v>
      </c>
    </row>
    <row r="120" spans="1:4" x14ac:dyDescent="0.2">
      <c r="A120" s="33" t="s">
        <v>114</v>
      </c>
      <c r="B120" s="16">
        <f>'Income universal'!BC3</f>
        <v>4.160541170738175</v>
      </c>
      <c r="C120" s="16">
        <f>(B120-B$120)*1000</f>
        <v>0</v>
      </c>
    </row>
    <row r="121" spans="1:4" x14ac:dyDescent="0.2">
      <c r="A121" t="s">
        <v>116</v>
      </c>
      <c r="B121" s="23">
        <f>'Income universal'!BK3</f>
        <v>4.1845375229765809</v>
      </c>
      <c r="C121" s="16">
        <f>(B121-B$120)*1000</f>
        <v>23.996352238405905</v>
      </c>
    </row>
    <row r="122" spans="1:4" x14ac:dyDescent="0.2">
      <c r="A122" t="s">
        <v>118</v>
      </c>
      <c r="B122">
        <f>'Income means-test 3 deciles'!AZ3</f>
        <v>4.1646457854620502</v>
      </c>
      <c r="C122" s="16">
        <f>(B122-B$120)*1000</f>
        <v>4.104614723875244</v>
      </c>
    </row>
    <row r="123" spans="1:4" x14ac:dyDescent="0.2">
      <c r="A123" t="s">
        <v>120</v>
      </c>
      <c r="B123">
        <f>'Income means-test 3 deciles'!BH3</f>
        <v>4.1854795298683865</v>
      </c>
      <c r="C123" s="16">
        <f>(B123-B$120)*1000</f>
        <v>24.938359130211474</v>
      </c>
    </row>
    <row r="125" spans="1:4" x14ac:dyDescent="0.2">
      <c r="B125" s="47"/>
    </row>
    <row r="128" spans="1:4" x14ac:dyDescent="0.2">
      <c r="A128" s="51" t="s">
        <v>195</v>
      </c>
      <c r="B128" s="51"/>
      <c r="C128" s="51"/>
      <c r="D128" s="51"/>
    </row>
    <row r="129" spans="1:4" x14ac:dyDescent="0.2">
      <c r="A129" s="9" t="s">
        <v>39</v>
      </c>
      <c r="B129" s="9" t="s">
        <v>74</v>
      </c>
      <c r="C129" s="9" t="s">
        <v>75</v>
      </c>
      <c r="D129" s="9" t="s">
        <v>76</v>
      </c>
    </row>
    <row r="130" spans="1:4" x14ac:dyDescent="0.2">
      <c r="A130">
        <v>2026</v>
      </c>
      <c r="B130" s="33" t="s">
        <v>79</v>
      </c>
      <c r="C130" s="8">
        <f>'Income universal'!AX3</f>
        <v>18.971178603227191</v>
      </c>
      <c r="D130">
        <f>(C130-Graphs!$B$100)*100</f>
        <v>0</v>
      </c>
    </row>
    <row r="131" spans="1:4" x14ac:dyDescent="0.2">
      <c r="A131">
        <v>2026</v>
      </c>
      <c r="B131" t="s">
        <v>81</v>
      </c>
      <c r="C131">
        <f>'Income universal'!BF3</f>
        <v>18.976406907075258</v>
      </c>
      <c r="D131">
        <f>(C131-Graphs!$B$100)*100</f>
        <v>0.52283038480673838</v>
      </c>
    </row>
    <row r="132" spans="1:4" x14ac:dyDescent="0.2">
      <c r="A132">
        <v>2026</v>
      </c>
      <c r="B132" t="s">
        <v>78</v>
      </c>
      <c r="C132">
        <f>'Income means-test 3 deciles'!AU3</f>
        <v>18.970572767069218</v>
      </c>
      <c r="D132">
        <f>(C132-Graphs!$B$100)*100</f>
        <v>-6.0583615797327184E-2</v>
      </c>
    </row>
    <row r="133" spans="1:4" x14ac:dyDescent="0.2">
      <c r="A133">
        <v>2026</v>
      </c>
      <c r="B133" t="s">
        <v>80</v>
      </c>
      <c r="C133">
        <f>'Income means-test 3 deciles'!BC3</f>
        <v>18.975229858866875</v>
      </c>
      <c r="D133">
        <f>(C133-Graphs!$B$100)*100</f>
        <v>0.40512556396841148</v>
      </c>
    </row>
    <row r="134" spans="1:4" x14ac:dyDescent="0.2">
      <c r="A134">
        <v>2040</v>
      </c>
      <c r="B134" s="33" t="s">
        <v>79</v>
      </c>
      <c r="C134">
        <f>'Income universal'!AX17</f>
        <v>18.964345582282597</v>
      </c>
      <c r="D134">
        <f>(C134-Graphs!$B$100)*100</f>
        <v>-0.68330209445939261</v>
      </c>
    </row>
    <row r="135" spans="1:4" x14ac:dyDescent="0.2">
      <c r="A135">
        <v>2040</v>
      </c>
      <c r="B135" t="s">
        <v>81</v>
      </c>
      <c r="C135" s="23">
        <f>'Income universal'!BF17</f>
        <v>18.971984116388946</v>
      </c>
      <c r="D135">
        <f>(C135-Graphs!$B$100)*100</f>
        <v>8.0551316175458965E-2</v>
      </c>
    </row>
    <row r="136" spans="1:4" x14ac:dyDescent="0.2">
      <c r="A136">
        <v>2040</v>
      </c>
      <c r="B136" t="s">
        <v>78</v>
      </c>
      <c r="C136">
        <f>'Income means-test 3 deciles'!AU17</f>
        <v>18.964986674691186</v>
      </c>
      <c r="D136">
        <f>(C136-Graphs!$B$100)*100</f>
        <v>-0.61919285360048093</v>
      </c>
    </row>
    <row r="137" spans="1:4" x14ac:dyDescent="0.2">
      <c r="A137">
        <v>2040</v>
      </c>
      <c r="B137" t="s">
        <v>80</v>
      </c>
      <c r="C137">
        <f>'Income means-test 3 deciles'!BC17</f>
        <v>18.971750300725304</v>
      </c>
      <c r="D137">
        <f>(C137-Graphs!$B$100)*100</f>
        <v>5.7169749811336601E-2</v>
      </c>
    </row>
    <row r="138" spans="1:4" x14ac:dyDescent="0.2">
      <c r="A138">
        <v>2078</v>
      </c>
      <c r="B138" s="33" t="s">
        <v>79</v>
      </c>
      <c r="C138">
        <f>'Income universal'!AX31</f>
        <v>19.013335987304522</v>
      </c>
      <c r="D138">
        <f>(C138-Graphs!$B$100)*100</f>
        <v>4.2157384077331272</v>
      </c>
    </row>
    <row r="139" spans="1:4" x14ac:dyDescent="0.2">
      <c r="A139">
        <v>2078</v>
      </c>
      <c r="B139" t="s">
        <v>81</v>
      </c>
      <c r="C139" s="23">
        <f>'Income universal'!BF31</f>
        <v>19.022525110372246</v>
      </c>
      <c r="D139">
        <f>(C139-Graphs!$B$100)*100</f>
        <v>5.1346507145055398</v>
      </c>
    </row>
    <row r="140" spans="1:4" x14ac:dyDescent="0.2">
      <c r="A140">
        <v>2078</v>
      </c>
      <c r="B140" t="s">
        <v>78</v>
      </c>
      <c r="C140">
        <f>'Income means-test 3 deciles'!AU31</f>
        <v>19.011358835489101</v>
      </c>
      <c r="D140">
        <f>(C140-Graphs!$B$100)*100</f>
        <v>4.0180232261910476</v>
      </c>
    </row>
    <row r="141" spans="1:4" x14ac:dyDescent="0.2">
      <c r="A141">
        <v>2078</v>
      </c>
      <c r="B141" t="s">
        <v>80</v>
      </c>
      <c r="C141">
        <f>'Income means-test 3 deciles'!BC31</f>
        <v>19.020080266501267</v>
      </c>
      <c r="D141">
        <f>(C141-Graphs!$B$100)*100</f>
        <v>4.8901663274076412</v>
      </c>
    </row>
    <row r="146" spans="1:2" x14ac:dyDescent="0.2">
      <c r="A146" s="42" t="s">
        <v>190</v>
      </c>
      <c r="B146" s="42"/>
    </row>
    <row r="147" spans="1:2" x14ac:dyDescent="0.2">
      <c r="A147" s="9" t="s">
        <v>111</v>
      </c>
      <c r="B147" s="36" t="s">
        <v>110</v>
      </c>
    </row>
    <row r="148" spans="1:2" x14ac:dyDescent="0.2">
      <c r="A148" s="36" cm="1">
        <f t="array" ref="A148:A157">('Income universal'!AJ4:AJ13) /1000</f>
        <v>5.8912768764526646</v>
      </c>
      <c r="B148" s="19">
        <f>'Income universal'!AN4</f>
        <v>3.4436479939199649</v>
      </c>
    </row>
    <row r="149" spans="1:2" x14ac:dyDescent="0.2">
      <c r="A149">
        <v>14.472420438757901</v>
      </c>
      <c r="B149" s="19">
        <f>'Income universal'!AN5</f>
        <v>3.5275243714055806</v>
      </c>
    </row>
    <row r="150" spans="1:2" x14ac:dyDescent="0.2">
      <c r="A150">
        <v>26.409370835797514</v>
      </c>
      <c r="B150" s="19">
        <f>'Income universal'!AN6</f>
        <v>3.5736519316952546</v>
      </c>
    </row>
    <row r="151" spans="1:2" x14ac:dyDescent="0.2">
      <c r="A151">
        <v>39.587992329115643</v>
      </c>
      <c r="B151" s="19">
        <f>'Income universal'!AN7</f>
        <v>3.6008749698425788</v>
      </c>
    </row>
    <row r="152" spans="1:2" x14ac:dyDescent="0.2">
      <c r="A152">
        <v>50.598227309543084</v>
      </c>
      <c r="B152" s="19">
        <f>'Income universal'!AN8</f>
        <v>3.6160353784194004</v>
      </c>
    </row>
    <row r="153" spans="1:2" x14ac:dyDescent="0.2">
      <c r="A153">
        <v>59.097679110401273</v>
      </c>
      <c r="B153" s="19">
        <f>'Income universal'!AN9</f>
        <v>3.6251405806523107</v>
      </c>
    </row>
    <row r="154" spans="1:2" x14ac:dyDescent="0.2">
      <c r="A154">
        <v>68.252251082837034</v>
      </c>
      <c r="B154" s="19">
        <f>'Income universal'!AN10</f>
        <v>3.6332633680541906</v>
      </c>
    </row>
    <row r="155" spans="1:2" x14ac:dyDescent="0.2">
      <c r="A155">
        <v>80.394146285084901</v>
      </c>
      <c r="B155" s="19">
        <f>'Income universal'!AN11</f>
        <v>3.6421359330711081</v>
      </c>
    </row>
    <row r="156" spans="1:2" x14ac:dyDescent="0.2">
      <c r="A156">
        <v>99.025330234032808</v>
      </c>
      <c r="B156" s="19">
        <f>'Income universal'!AN12</f>
        <v>3.6528980117375638</v>
      </c>
    </row>
    <row r="157" spans="1:2" x14ac:dyDescent="0.2">
      <c r="A157">
        <v>170.72651994707201</v>
      </c>
      <c r="B157" s="19">
        <f>'Income universal'!AN13</f>
        <v>3.6784170300546104</v>
      </c>
    </row>
    <row r="164" spans="1:2" x14ac:dyDescent="0.2">
      <c r="A164" s="51" t="s">
        <v>155</v>
      </c>
      <c r="B164" s="51"/>
    </row>
    <row r="165" spans="1:2" x14ac:dyDescent="0.2">
      <c r="A165" s="36" t="s">
        <v>111</v>
      </c>
      <c r="B165" s="9" t="s">
        <v>110</v>
      </c>
    </row>
    <row r="166" spans="1:2" x14ac:dyDescent="0.2">
      <c r="A166" s="8">
        <f>'Income universal'!AJ4/1000</f>
        <v>5.8912768764526646</v>
      </c>
      <c r="B166" s="19">
        <f>'Income universal'!AQ4</f>
        <v>3.770209434056631</v>
      </c>
    </row>
    <row r="167" spans="1:2" x14ac:dyDescent="0.2">
      <c r="A167" s="8">
        <f>'Income universal'!AJ5/1000</f>
        <v>14.472420438757901</v>
      </c>
      <c r="B167" s="19">
        <f>'Income universal'!AQ5</f>
        <v>4.160541170738175</v>
      </c>
    </row>
    <row r="168" spans="1:2" x14ac:dyDescent="0.2">
      <c r="A168" s="8">
        <f>'Income universal'!AJ6/1000</f>
        <v>26.409370835797514</v>
      </c>
      <c r="B168" s="19">
        <f>'Income universal'!AQ6</f>
        <v>4.4217580549064275</v>
      </c>
    </row>
    <row r="169" spans="1:2" x14ac:dyDescent="0.2">
      <c r="A169" s="8">
        <f>'Income universal'!AJ7/1000</f>
        <v>39.587992329115643</v>
      </c>
      <c r="B169" s="19">
        <f>'Income universal'!AQ7</f>
        <v>4.5975634774406231</v>
      </c>
    </row>
    <row r="170" spans="1:2" x14ac:dyDescent="0.2">
      <c r="A170" s="8">
        <f>'Income universal'!AJ8/1000</f>
        <v>50.598227309543084</v>
      </c>
      <c r="B170" s="19">
        <f>'Income universal'!AQ8</f>
        <v>4.7041353017573986</v>
      </c>
    </row>
    <row r="171" spans="1:2" x14ac:dyDescent="0.2">
      <c r="A171" s="8">
        <f>'Income universal'!AJ9/1000</f>
        <v>59.097679110401273</v>
      </c>
      <c r="B171" s="19">
        <f>'Income universal'!AQ9</f>
        <v>4.771570425562512</v>
      </c>
    </row>
    <row r="172" spans="1:2" x14ac:dyDescent="0.2">
      <c r="A172" s="8">
        <f>'Income universal'!AJ10/1000</f>
        <v>68.252251082837034</v>
      </c>
      <c r="B172" s="19">
        <f>'Income universal'!AQ10</f>
        <v>4.8341169797674777</v>
      </c>
    </row>
    <row r="173" spans="1:2" x14ac:dyDescent="0.2">
      <c r="A173" s="8">
        <f>'Income universal'!AJ11/1000</f>
        <v>80.394146285084901</v>
      </c>
      <c r="B173" s="19">
        <f>'Income universal'!AQ11</f>
        <v>4.9052244277454964</v>
      </c>
    </row>
    <row r="174" spans="1:2" x14ac:dyDescent="0.2">
      <c r="A174" s="8">
        <f>'Income universal'!AJ12/1000</f>
        <v>99.025330234032808</v>
      </c>
      <c r="B174" s="19">
        <f>'Income universal'!AQ12</f>
        <v>4.9957462993831117</v>
      </c>
    </row>
    <row r="175" spans="1:2" x14ac:dyDescent="0.2">
      <c r="A175" s="8">
        <f>'Income universal'!AJ13/1000</f>
        <v>170.72651994707201</v>
      </c>
      <c r="B175" s="19">
        <f>'Income universal'!AQ13</f>
        <v>5.2323009878522244</v>
      </c>
    </row>
    <row r="183" spans="1:4" x14ac:dyDescent="0.2">
      <c r="A183" s="51" t="s">
        <v>200</v>
      </c>
      <c r="B183" s="51"/>
      <c r="C183" s="51"/>
      <c r="D183" s="51"/>
    </row>
    <row r="184" spans="1:4" x14ac:dyDescent="0.2">
      <c r="A184" s="9" t="s">
        <v>90</v>
      </c>
      <c r="B184" s="9">
        <v>2026</v>
      </c>
      <c r="C184" s="9">
        <v>2040</v>
      </c>
      <c r="D184" s="9">
        <v>2078</v>
      </c>
    </row>
    <row r="185" spans="1:4" x14ac:dyDescent="0.2">
      <c r="A185">
        <v>1</v>
      </c>
      <c r="B185" s="6">
        <f>'Income universal'!AJ4</f>
        <v>5891.2768764526645</v>
      </c>
      <c r="C185" s="6">
        <f>'Income universal'!AJ18</f>
        <v>5417.976987435457</v>
      </c>
      <c r="D185" s="6">
        <f>'Income universal'!AJ32</f>
        <v>12972.327613936375</v>
      </c>
    </row>
    <row r="186" spans="1:4" x14ac:dyDescent="0.2">
      <c r="A186">
        <v>2</v>
      </c>
      <c r="B186" s="6">
        <f>'Income universal'!AJ5</f>
        <v>14472.420438757901</v>
      </c>
      <c r="C186" s="6">
        <f>'Income universal'!AJ19</f>
        <v>13908.677305790037</v>
      </c>
      <c r="D186" s="6">
        <f>'Income universal'!AJ33</f>
        <v>21751.179560990025</v>
      </c>
    </row>
    <row r="187" spans="1:4" x14ac:dyDescent="0.2">
      <c r="A187">
        <v>3</v>
      </c>
      <c r="B187" s="6">
        <f>'Income universal'!AJ6</f>
        <v>26409.370835797516</v>
      </c>
      <c r="C187" s="6">
        <f>'Income universal'!AJ20</f>
        <v>25642.45107368712</v>
      </c>
      <c r="D187" s="6">
        <f>'Income universal'!AJ34</f>
        <v>33934.404154217496</v>
      </c>
    </row>
    <row r="188" spans="1:4" x14ac:dyDescent="0.2">
      <c r="A188">
        <v>4</v>
      </c>
      <c r="B188" s="6">
        <f>'Income universal'!AJ7</f>
        <v>39587.992329115645</v>
      </c>
      <c r="C188" s="6">
        <f>'Income universal'!AJ21</f>
        <v>38546.905880763996</v>
      </c>
      <c r="D188" s="6">
        <f>'Income universal'!AJ35</f>
        <v>47244.349386873473</v>
      </c>
    </row>
    <row r="189" spans="1:4" x14ac:dyDescent="0.2">
      <c r="A189">
        <v>5</v>
      </c>
      <c r="B189" s="6">
        <f>'Income universal'!AJ8</f>
        <v>50598.227309543086</v>
      </c>
      <c r="C189" s="6">
        <f>'Income universal'!AJ22</f>
        <v>49279.350008121786</v>
      </c>
      <c r="D189" s="6">
        <f>'Income universal'!AJ36</f>
        <v>58007.367058966753</v>
      </c>
    </row>
    <row r="190" spans="1:4" x14ac:dyDescent="0.2">
      <c r="A190">
        <v>6</v>
      </c>
      <c r="B190" s="6">
        <f>'Income universal'!AJ9</f>
        <v>59097.679110401274</v>
      </c>
      <c r="C190" s="6">
        <f>'Income universal'!AJ23</f>
        <v>57407.252775344372</v>
      </c>
      <c r="D190" s="6">
        <f>'Income universal'!AJ37</f>
        <v>65414.682415864852</v>
      </c>
    </row>
    <row r="191" spans="1:4" x14ac:dyDescent="0.2">
      <c r="A191">
        <v>7</v>
      </c>
      <c r="B191" s="6">
        <f>'Income universal'!AJ10</f>
        <v>68252.251082837029</v>
      </c>
      <c r="C191" s="6">
        <f>'Income universal'!AJ24</f>
        <v>66229.330014614126</v>
      </c>
      <c r="D191" s="6">
        <f>'Income universal'!AJ38</f>
        <v>73763.817241241617</v>
      </c>
    </row>
    <row r="192" spans="1:4" x14ac:dyDescent="0.2">
      <c r="A192">
        <v>8</v>
      </c>
      <c r="B192" s="6">
        <f>'Income universal'!AJ11</f>
        <v>80394.146285084906</v>
      </c>
      <c r="C192" s="6">
        <f>'Income universal'!AJ25</f>
        <v>77912.002396570009</v>
      </c>
      <c r="D192" s="6">
        <f>'Income universal'!AJ39</f>
        <v>85023.774840434111</v>
      </c>
    </row>
    <row r="193" spans="1:20" x14ac:dyDescent="0.2">
      <c r="A193">
        <v>9</v>
      </c>
      <c r="B193" s="6">
        <f>'Income universal'!AJ12</f>
        <v>99025.330234032808</v>
      </c>
      <c r="C193" s="6">
        <f>'Income universal'!AJ26</f>
        <v>95828.220424413303</v>
      </c>
      <c r="D193" s="6">
        <f>'Income universal'!AJ40</f>
        <v>102695.57519329664</v>
      </c>
    </row>
    <row r="194" spans="1:20" x14ac:dyDescent="0.2">
      <c r="A194">
        <v>10</v>
      </c>
      <c r="B194" s="6">
        <f>'Income universal'!AJ13</f>
        <v>170726.519947072</v>
      </c>
      <c r="C194" s="6">
        <f>'Income universal'!AJ27</f>
        <v>164952.20228725666</v>
      </c>
      <c r="D194" s="6">
        <f>'Income universal'!AJ41</f>
        <v>173844.79709958384</v>
      </c>
    </row>
    <row r="199" spans="1:20" x14ac:dyDescent="0.2">
      <c r="A199" s="42" t="s">
        <v>191</v>
      </c>
      <c r="B199" s="42"/>
      <c r="S199" s="42"/>
      <c r="T199" s="42"/>
    </row>
    <row r="200" spans="1:20" x14ac:dyDescent="0.2">
      <c r="A200" s="9" t="s">
        <v>111</v>
      </c>
      <c r="B200" s="36" t="s">
        <v>243</v>
      </c>
      <c r="C200" t="s">
        <v>242</v>
      </c>
      <c r="D200" t="s">
        <v>240</v>
      </c>
      <c r="E200" t="s">
        <v>241</v>
      </c>
      <c r="S200" s="9"/>
      <c r="T200" s="36"/>
    </row>
    <row r="201" spans="1:20" x14ac:dyDescent="0.2">
      <c r="A201" s="44">
        <f>('Income universal'!AJ4) /1000</f>
        <v>5.8912768764526646</v>
      </c>
      <c r="B201" s="19">
        <f>('Income universal'!AP4)</f>
        <v>0.99983025751106747</v>
      </c>
      <c r="C201">
        <f>((B201/B$205) - (B$201/B$205))*500</f>
        <v>0</v>
      </c>
      <c r="D201" s="19">
        <f>((B148/B$152)-(B$148/B$152))*5</f>
        <v>0</v>
      </c>
      <c r="E201" s="19">
        <f>((B166/B$170)- (B$166/B$170))</f>
        <v>0</v>
      </c>
      <c r="S201" s="44"/>
      <c r="T201" s="19"/>
    </row>
    <row r="202" spans="1:20" x14ac:dyDescent="0.2">
      <c r="A202" s="44">
        <f>('Income universal'!AJ5) /1000</f>
        <v>14.472420438757901</v>
      </c>
      <c r="B202" s="19">
        <f>('Income universal'!AP5)</f>
        <v>0.99993090305769983</v>
      </c>
      <c r="C202">
        <f t="shared" ref="C202:C210" si="5">((B202/B$205) - (B$201/B$205))*500</f>
        <v>5.0323767891935489E-2</v>
      </c>
      <c r="D202" s="19">
        <f t="shared" ref="D202:D210" si="6">((B149/B$152)-(B$148/B$152))*5</f>
        <v>0.11597836955107299</v>
      </c>
      <c r="E202" s="19">
        <f t="shared" ref="E202:E210" si="7">((B167/B$170)- (B$166/B$170))</f>
        <v>8.2976298861072606E-2</v>
      </c>
      <c r="S202" s="44"/>
      <c r="T202" s="19"/>
    </row>
    <row r="203" spans="1:20" x14ac:dyDescent="0.2">
      <c r="A203" s="44">
        <f>('Income universal'!AJ6) /1000</f>
        <v>26.409370835797514</v>
      </c>
      <c r="B203" s="19">
        <f>('Income universal'!AP6)</f>
        <v>0.99996213465264971</v>
      </c>
      <c r="C203">
        <f t="shared" si="5"/>
        <v>6.5939873996390119E-2</v>
      </c>
      <c r="D203" s="19">
        <f t="shared" si="6"/>
        <v>0.17976032335186354</v>
      </c>
      <c r="E203" s="19">
        <f t="shared" si="7"/>
        <v>0.1385055018732958</v>
      </c>
      <c r="S203" s="44"/>
      <c r="T203" s="19"/>
    </row>
    <row r="204" spans="1:20" x14ac:dyDescent="0.2">
      <c r="A204" s="44">
        <f>('Income universal'!AJ7) /1000</f>
        <v>39.587992329115643</v>
      </c>
      <c r="B204" s="19">
        <f>('Income universal'!AP7)</f>
        <v>0.99997473981525287</v>
      </c>
      <c r="C204">
        <f t="shared" si="5"/>
        <v>7.224257986171434E-2</v>
      </c>
      <c r="D204" s="19">
        <f t="shared" si="6"/>
        <v>0.21740243038127993</v>
      </c>
      <c r="E204" s="19">
        <f t="shared" si="7"/>
        <v>0.17587802865170654</v>
      </c>
      <c r="S204" s="44"/>
      <c r="T204" s="19"/>
    </row>
    <row r="205" spans="1:20" x14ac:dyDescent="0.2">
      <c r="A205" s="44">
        <f>('Income universal'!AJ8) /1000</f>
        <v>50.598227309543084</v>
      </c>
      <c r="B205" s="19">
        <f>('Income universal'!AP8)</f>
        <v>0.99998023646176615</v>
      </c>
      <c r="C205">
        <f t="shared" si="5"/>
        <v>7.4990957436016359E-2</v>
      </c>
      <c r="D205" s="19">
        <f t="shared" si="6"/>
        <v>0.23836517962220194</v>
      </c>
      <c r="E205" s="19">
        <f t="shared" si="7"/>
        <v>0.19853295192250653</v>
      </c>
      <c r="S205" s="44"/>
      <c r="T205" s="19"/>
    </row>
    <row r="206" spans="1:20" x14ac:dyDescent="0.2">
      <c r="A206" s="44">
        <f>('Income universal'!AJ9) /1000</f>
        <v>59.097679110401273</v>
      </c>
      <c r="B206" s="19">
        <f>('Income universal'!AP9)</f>
        <v>0.99998307886172433</v>
      </c>
      <c r="C206">
        <f t="shared" si="5"/>
        <v>7.6412185503582641E-2</v>
      </c>
      <c r="D206" s="19">
        <f t="shared" si="6"/>
        <v>0.25095521439792656</v>
      </c>
      <c r="E206" s="19">
        <f t="shared" si="7"/>
        <v>0.21286823768265895</v>
      </c>
      <c r="S206" s="44"/>
      <c r="T206" s="19"/>
    </row>
    <row r="207" spans="1:20" x14ac:dyDescent="0.2">
      <c r="A207" s="44">
        <f>('Income universal'!AJ10) /1000</f>
        <v>68.252251082837034</v>
      </c>
      <c r="B207" s="19">
        <f>('Income universal'!AP10)</f>
        <v>0.99998534846859799</v>
      </c>
      <c r="C207">
        <f t="shared" si="5"/>
        <v>7.7547011368639396E-2</v>
      </c>
      <c r="D207" s="19">
        <f t="shared" si="6"/>
        <v>0.2621868348770251</v>
      </c>
      <c r="E207" s="19">
        <f t="shared" si="7"/>
        <v>0.22616431659892644</v>
      </c>
      <c r="S207" s="44"/>
      <c r="T207" s="19"/>
    </row>
    <row r="208" spans="1:20" x14ac:dyDescent="0.2">
      <c r="A208" s="44">
        <f>('Income universal'!AJ11) /1000</f>
        <v>80.394146285084901</v>
      </c>
      <c r="B208" s="19">
        <f>('Income universal'!AP11)</f>
        <v>0.99998756128342414</v>
      </c>
      <c r="C208">
        <f t="shared" si="5"/>
        <v>7.8653440648612793E-2</v>
      </c>
      <c r="D208" s="19">
        <f t="shared" si="6"/>
        <v>0.27445519523360384</v>
      </c>
      <c r="E208" s="19">
        <f t="shared" si="7"/>
        <v>0.24128026106409806</v>
      </c>
      <c r="S208" s="44"/>
      <c r="T208" s="19"/>
    </row>
    <row r="209" spans="1:20" x14ac:dyDescent="0.2">
      <c r="A209" s="44">
        <f>('Income universal'!AJ12) /1000</f>
        <v>99.025330234032808</v>
      </c>
      <c r="B209" s="19">
        <f>('Income universal'!AP12)</f>
        <v>0.99998990157369194</v>
      </c>
      <c r="C209">
        <f t="shared" si="5"/>
        <v>7.9823608909235233E-2</v>
      </c>
      <c r="D209" s="19">
        <f t="shared" si="6"/>
        <v>0.2893362424859125</v>
      </c>
      <c r="E209" s="19">
        <f t="shared" si="7"/>
        <v>0.26052330273507174</v>
      </c>
      <c r="S209" s="44"/>
      <c r="T209" s="19"/>
    </row>
    <row r="210" spans="1:20" x14ac:dyDescent="0.2">
      <c r="A210" s="44">
        <f>('Income universal'!AJ13) /1000</f>
        <v>170.72651994707201</v>
      </c>
      <c r="B210" s="19">
        <f>('Income universal'!AP13)</f>
        <v>0.99999414267917885</v>
      </c>
      <c r="C210">
        <f t="shared" si="5"/>
        <v>8.1944203563111273E-2</v>
      </c>
      <c r="D210" s="19">
        <f t="shared" si="6"/>
        <v>0.32462215045758858</v>
      </c>
      <c r="E210" s="19">
        <f t="shared" si="7"/>
        <v>0.31080984283113122</v>
      </c>
      <c r="S210" s="44"/>
      <c r="T210" s="19"/>
    </row>
    <row r="216" spans="1:20" x14ac:dyDescent="0.2">
      <c r="H216" s="39" t="s">
        <v>228</v>
      </c>
      <c r="O216" s="39" t="s">
        <v>227</v>
      </c>
    </row>
    <row r="218" spans="1:20" x14ac:dyDescent="0.2">
      <c r="A218" s="51" t="s">
        <v>196</v>
      </c>
      <c r="B218" s="51"/>
      <c r="C218" s="51"/>
      <c r="D218" s="51"/>
      <c r="E218" s="51"/>
      <c r="F218" s="51"/>
    </row>
    <row r="219" spans="1:20" x14ac:dyDescent="0.2">
      <c r="A219" s="9" t="s">
        <v>73</v>
      </c>
      <c r="B219" s="9">
        <v>1</v>
      </c>
      <c r="C219" s="9">
        <v>2</v>
      </c>
      <c r="D219" s="9">
        <v>3</v>
      </c>
      <c r="E219" s="9">
        <v>4</v>
      </c>
      <c r="F219" s="9">
        <v>5</v>
      </c>
    </row>
    <row r="220" spans="1:20" x14ac:dyDescent="0.2">
      <c r="A220" t="s">
        <v>153</v>
      </c>
      <c r="B220" s="8">
        <f>'Wealth Models'!Q4</f>
        <v>0</v>
      </c>
      <c r="C220" s="8">
        <f>'Wealth Models'!Q5</f>
        <v>0.29196943257153052</v>
      </c>
      <c r="D220" s="8">
        <f>'Wealth Models'!Q6</f>
        <v>0.323030010504672</v>
      </c>
      <c r="E220" s="8">
        <f>'Wealth Models'!Q7</f>
        <v>0.3540905884378136</v>
      </c>
      <c r="F220" s="8">
        <f>'Wealth Models'!Q8</f>
        <v>0.37893905078432677</v>
      </c>
    </row>
    <row r="221" spans="1:20" x14ac:dyDescent="0.2">
      <c r="A221" s="33" t="s">
        <v>150</v>
      </c>
      <c r="B221" s="8">
        <v>0</v>
      </c>
      <c r="C221" s="8">
        <f>'Wealth Models'!Q17</f>
        <v>0.11678777302861221</v>
      </c>
      <c r="D221" s="8">
        <f>'Wealth Models'!Q18</f>
        <v>0.12921200420186882</v>
      </c>
      <c r="E221" s="8">
        <f>'Wealth Models'!Q19</f>
        <v>0.14163623537512546</v>
      </c>
      <c r="F221" s="8">
        <f>'Wealth Models'!Q20</f>
        <v>0.15157562031373073</v>
      </c>
    </row>
    <row r="222" spans="1:20" x14ac:dyDescent="0.2">
      <c r="A222" t="s">
        <v>108</v>
      </c>
      <c r="B222" s="8">
        <f>'Wealth Models'!T4</f>
        <v>0</v>
      </c>
      <c r="C222" s="8">
        <f>'Wealth Models'!T5</f>
        <v>9.374604966332635E-2</v>
      </c>
      <c r="D222" s="8">
        <f>'Wealth Models'!T6</f>
        <v>0.14731522089951285</v>
      </c>
      <c r="E222" s="8">
        <f>'Wealth Models'!T7</f>
        <v>0.25445356337188585</v>
      </c>
      <c r="F222" s="8">
        <f>'Wealth Models'!T8</f>
        <v>0.40176878427139867</v>
      </c>
    </row>
    <row r="223" spans="1:20" x14ac:dyDescent="0.2">
      <c r="A223" t="s">
        <v>154</v>
      </c>
      <c r="B223" s="8">
        <f>'Wealth Models'!T16</f>
        <v>0</v>
      </c>
      <c r="C223" s="8">
        <f>'Wealth Models'!T17</f>
        <v>3.7498419865330541E-2</v>
      </c>
      <c r="D223" s="8">
        <f>'Wealth Models'!T18</f>
        <v>5.8926088359805152E-2</v>
      </c>
      <c r="E223" s="8">
        <f>'Wealth Models'!T19</f>
        <v>0.10178142534875433</v>
      </c>
      <c r="F223" s="8">
        <f>'Wealth Models'!T20</f>
        <v>0.16070751370855949</v>
      </c>
    </row>
    <row r="226" spans="1:6" x14ac:dyDescent="0.2">
      <c r="A226" s="51" t="s">
        <v>226</v>
      </c>
      <c r="B226" s="51"/>
      <c r="C226" s="51"/>
      <c r="D226" s="51"/>
      <c r="E226" s="51"/>
      <c r="F226" s="51"/>
    </row>
    <row r="227" spans="1:6" x14ac:dyDescent="0.2">
      <c r="A227" s="9" t="s">
        <v>73</v>
      </c>
      <c r="B227" s="9">
        <v>1</v>
      </c>
      <c r="C227" s="9">
        <v>2</v>
      </c>
      <c r="D227" s="9">
        <v>3</v>
      </c>
      <c r="E227" s="9">
        <v>4</v>
      </c>
      <c r="F227" s="9">
        <v>5</v>
      </c>
    </row>
    <row r="228" spans="1:6" x14ac:dyDescent="0.2">
      <c r="A228" t="s">
        <v>153</v>
      </c>
      <c r="B228" s="8">
        <f>'Wealth Models'!Q4</f>
        <v>0</v>
      </c>
      <c r="C228" s="30">
        <f>('Wealth Models'!Q5)*0.05</f>
        <v>1.4598471628576526E-2</v>
      </c>
      <c r="D228" s="30">
        <f>('Wealth Models'!Q6)*0.05</f>
        <v>1.6151500525233602E-2</v>
      </c>
      <c r="E228" s="30">
        <f>('Wealth Models'!Q7)*0.05</f>
        <v>1.7704529421890682E-2</v>
      </c>
      <c r="F228" s="30">
        <f>('Wealth Models'!Q8)*0.05</f>
        <v>1.8946952539216341E-2</v>
      </c>
    </row>
    <row r="229" spans="1:6" x14ac:dyDescent="0.2">
      <c r="A229" s="33" t="s">
        <v>150</v>
      </c>
      <c r="B229" s="8">
        <v>0</v>
      </c>
      <c r="C229" s="30">
        <f>('Wealth Models'!Q17)*0.05</f>
        <v>5.8393886514306109E-3</v>
      </c>
      <c r="D229" s="30">
        <f>('Wealth Models'!Q18)*0.05</f>
        <v>6.4606002100934413E-3</v>
      </c>
      <c r="E229" s="30">
        <f>('Wealth Models'!Q19)*0.05</f>
        <v>7.0818117687562734E-3</v>
      </c>
      <c r="F229" s="30">
        <f>('Wealth Models'!Q20)*0.05</f>
        <v>7.5787810156865369E-3</v>
      </c>
    </row>
    <row r="230" spans="1:6" x14ac:dyDescent="0.2">
      <c r="A230" t="s">
        <v>108</v>
      </c>
      <c r="B230" s="8">
        <f>'Wealth Models'!T4</f>
        <v>0</v>
      </c>
      <c r="C230" s="30">
        <f>('Wealth Models'!T5)*0.05</f>
        <v>4.6873024831663177E-3</v>
      </c>
      <c r="D230" s="30">
        <f>('Wealth Models'!T6)*0.05</f>
        <v>7.3657610449756432E-3</v>
      </c>
      <c r="E230" s="30">
        <f>('Wealth Models'!T7)*0.05</f>
        <v>1.2722678168594292E-2</v>
      </c>
      <c r="F230" s="30">
        <f>('Wealth Models'!T8)*0.05</f>
        <v>2.0088439213569936E-2</v>
      </c>
    </row>
    <row r="231" spans="1:6" x14ac:dyDescent="0.2">
      <c r="A231" t="s">
        <v>154</v>
      </c>
      <c r="B231" s="8">
        <f>'Wealth Models'!T4</f>
        <v>0</v>
      </c>
      <c r="C231" s="30">
        <f>('Wealth Models'!T17)*0.05</f>
        <v>1.8749209932665272E-3</v>
      </c>
      <c r="D231" s="30">
        <f>('Wealth Models'!T18)*0.05</f>
        <v>2.9463044179902577E-3</v>
      </c>
      <c r="E231" s="30">
        <f>('Wealth Models'!T19)*0.05</f>
        <v>5.0890712674377166E-3</v>
      </c>
      <c r="F231" s="30">
        <f>('Wealth Models'!T20)*0.05</f>
        <v>8.0353756854279739E-3</v>
      </c>
    </row>
    <row r="235" spans="1:6" x14ac:dyDescent="0.2">
      <c r="A235" s="51" t="s">
        <v>202</v>
      </c>
      <c r="B235" s="51"/>
      <c r="C235" s="51"/>
    </row>
    <row r="236" spans="1:6" x14ac:dyDescent="0.2">
      <c r="A236" s="9" t="s">
        <v>74</v>
      </c>
      <c r="B236" s="9" t="s">
        <v>75</v>
      </c>
      <c r="C236" s="9" t="s">
        <v>76</v>
      </c>
    </row>
    <row r="237" spans="1:6" x14ac:dyDescent="0.2">
      <c r="A237" t="s">
        <v>153</v>
      </c>
      <c r="B237" s="32">
        <f>'Wealth Models'!AF3</f>
        <v>19.174799719424005</v>
      </c>
      <c r="C237" s="8">
        <f>(B237-B$237)*10000</f>
        <v>0</v>
      </c>
    </row>
    <row r="238" spans="1:6" x14ac:dyDescent="0.2">
      <c r="A238" t="s">
        <v>108</v>
      </c>
      <c r="B238" s="20">
        <f>'Wealth Models'!AJ3</f>
        <v>19.175203158775442</v>
      </c>
      <c r="C238" s="8">
        <f t="shared" ref="C238:C240" si="8">(B238-B$237)*10000</f>
        <v>4.0343935143738463</v>
      </c>
    </row>
    <row r="239" spans="1:6" x14ac:dyDescent="0.2">
      <c r="A239" s="33" t="s">
        <v>150</v>
      </c>
      <c r="B239" s="8">
        <f>'Wealth Models'!AF15</f>
        <v>19.173663120619</v>
      </c>
      <c r="C239" s="8">
        <f t="shared" si="8"/>
        <v>-11.365988050044962</v>
      </c>
    </row>
    <row r="240" spans="1:6" x14ac:dyDescent="0.2">
      <c r="A240" t="s">
        <v>154</v>
      </c>
      <c r="B240" s="8">
        <f>'Wealth Models'!AJ15</f>
        <v>19.173895913947792</v>
      </c>
      <c r="C240" s="8">
        <f t="shared" si="8"/>
        <v>-9.0380547621293772</v>
      </c>
    </row>
    <row r="243" spans="1:3" x14ac:dyDescent="0.2">
      <c r="A243" s="33" t="s">
        <v>82</v>
      </c>
      <c r="B243" s="18">
        <f>'Wealth Models'!AN15</f>
        <v>48.918166821088192</v>
      </c>
      <c r="C243">
        <f>(B243-B$243)*1000</f>
        <v>0</v>
      </c>
    </row>
    <row r="244" spans="1:3" x14ac:dyDescent="0.2">
      <c r="A244" t="s">
        <v>83</v>
      </c>
      <c r="B244" s="30">
        <f>'Wealth Models'!AR15</f>
        <v>48.9503582478781</v>
      </c>
      <c r="C244">
        <f>(B244-B$243)*1000</f>
        <v>32.191426789907496</v>
      </c>
    </row>
    <row r="245" spans="1:3" x14ac:dyDescent="0.2">
      <c r="A245" t="s">
        <v>84</v>
      </c>
      <c r="B245" s="20">
        <f>'Wealth Models'!AR3</f>
        <v>49.15158707803829</v>
      </c>
      <c r="C245">
        <f>(B245-B$243)*1000</f>
        <v>233.42025695009738</v>
      </c>
    </row>
    <row r="246" spans="1:3" x14ac:dyDescent="0.2">
      <c r="A246" t="s">
        <v>86</v>
      </c>
      <c r="B246" s="18">
        <f>'Wealth Models'!AN3</f>
        <v>49.094741788883468</v>
      </c>
      <c r="C246">
        <f>(B246-B$243)*1000</f>
        <v>176.57496779527548</v>
      </c>
    </row>
    <row r="253" spans="1:3" x14ac:dyDescent="0.2">
      <c r="A253" s="53" t="s">
        <v>201</v>
      </c>
      <c r="B253" s="53"/>
      <c r="C253" s="53"/>
    </row>
    <row r="254" spans="1:3" x14ac:dyDescent="0.2">
      <c r="A254" s="40" t="s">
        <v>74</v>
      </c>
      <c r="B254" s="40" t="s">
        <v>75</v>
      </c>
      <c r="C254" s="40" t="s">
        <v>76</v>
      </c>
    </row>
    <row r="255" spans="1:3" x14ac:dyDescent="0.2">
      <c r="A255" t="s">
        <v>153</v>
      </c>
      <c r="B255" s="33">
        <f>'Wealth Models'!AH3</f>
        <v>9.791526116260826</v>
      </c>
      <c r="C255" s="33">
        <f>(B255-B$255)*10000</f>
        <v>0</v>
      </c>
    </row>
    <row r="256" spans="1:3" x14ac:dyDescent="0.2">
      <c r="A256" t="s">
        <v>108</v>
      </c>
      <c r="B256" s="33">
        <f>'Wealth Models'!AL3</f>
        <v>9.7916291292758721</v>
      </c>
      <c r="C256" s="33">
        <f t="shared" ref="C256:C258" si="9">(B256-B$255)*10000</f>
        <v>1.0301301504611615</v>
      </c>
    </row>
    <row r="257" spans="1:3" x14ac:dyDescent="0.2">
      <c r="A257" s="33" t="s">
        <v>150</v>
      </c>
      <c r="B257" s="34">
        <f>'Wealth Models'!AH15</f>
        <v>9.7912359445648036</v>
      </c>
      <c r="C257" s="33">
        <f t="shared" si="9"/>
        <v>-2.9017169602241211</v>
      </c>
    </row>
    <row r="258" spans="1:3" x14ac:dyDescent="0.2">
      <c r="A258" t="s">
        <v>154</v>
      </c>
      <c r="B258" s="33">
        <f>'Wealth Models'!AL15</f>
        <v>9.791295386653859</v>
      </c>
      <c r="C258" s="33">
        <f t="shared" si="9"/>
        <v>-2.3072960696701728</v>
      </c>
    </row>
    <row r="259" spans="1:3" x14ac:dyDescent="0.2">
      <c r="A259" s="33"/>
      <c r="B259" s="33"/>
      <c r="C259" s="33"/>
    </row>
    <row r="260" spans="1:3" x14ac:dyDescent="0.2">
      <c r="A260" s="33"/>
      <c r="B260" s="33"/>
      <c r="C260" s="33"/>
    </row>
    <row r="261" spans="1:3" x14ac:dyDescent="0.2">
      <c r="A261" s="33" t="s">
        <v>82</v>
      </c>
      <c r="B261" s="33">
        <v>15.63435</v>
      </c>
      <c r="C261" s="33">
        <v>0</v>
      </c>
    </row>
    <row r="262" spans="1:3" x14ac:dyDescent="0.2">
      <c r="A262" s="33" t="s">
        <v>83</v>
      </c>
      <c r="B262" s="33">
        <v>15.639709999999999</v>
      </c>
      <c r="C262" s="33">
        <v>53.595123299999997</v>
      </c>
    </row>
    <row r="263" spans="1:3" x14ac:dyDescent="0.2">
      <c r="A263" s="33" t="s">
        <v>84</v>
      </c>
      <c r="B263" s="33">
        <v>15.674340000000001</v>
      </c>
      <c r="C263" s="33">
        <v>399.88645400000001</v>
      </c>
    </row>
    <row r="264" spans="1:3" x14ac:dyDescent="0.2">
      <c r="A264" s="33" t="s">
        <v>86</v>
      </c>
      <c r="B264" s="33">
        <v>15.66502</v>
      </c>
      <c r="C264" s="33">
        <v>306.65331800000001</v>
      </c>
    </row>
    <row r="267" spans="1:3" x14ac:dyDescent="0.2">
      <c r="A267" s="51" t="s">
        <v>223</v>
      </c>
      <c r="B267" s="51"/>
      <c r="C267" s="51"/>
    </row>
    <row r="268" spans="1:3" x14ac:dyDescent="0.2">
      <c r="A268" s="9" t="s">
        <v>74</v>
      </c>
      <c r="B268" s="9" t="s">
        <v>75</v>
      </c>
      <c r="C268" s="9" t="s">
        <v>76</v>
      </c>
    </row>
    <row r="269" spans="1:3" x14ac:dyDescent="0.2">
      <c r="A269" t="s">
        <v>153</v>
      </c>
      <c r="B269" s="8">
        <f>'Wealth Models'!AB5</f>
        <v>3.8336413313425144</v>
      </c>
      <c r="C269" s="32">
        <f>(B269-B$269)*10000</f>
        <v>0</v>
      </c>
    </row>
    <row r="270" spans="1:3" x14ac:dyDescent="0.2">
      <c r="A270" t="s">
        <v>108</v>
      </c>
      <c r="B270" s="8">
        <f>'Wealth Models'!AD5</f>
        <v>3.8338068693509642</v>
      </c>
      <c r="C270" s="32">
        <f>(B270-B$269)*10000</f>
        <v>1.6553800844976152</v>
      </c>
    </row>
    <row r="271" spans="1:3" x14ac:dyDescent="0.2">
      <c r="A271" s="33" t="s">
        <v>150</v>
      </c>
      <c r="B271" s="8">
        <f>'Wealth Models'!AB17</f>
        <v>3.8337850265798705</v>
      </c>
      <c r="C271" s="32">
        <f>(B271-B$269)*10000</f>
        <v>1.4369523735613399</v>
      </c>
    </row>
    <row r="272" spans="1:3" x14ac:dyDescent="0.2">
      <c r="A272" t="s">
        <v>154</v>
      </c>
      <c r="B272" s="23">
        <f>'Wealth Models'!AD17</f>
        <v>3.8338509702673615</v>
      </c>
      <c r="C272" s="32">
        <f>(B272-B$269)*10000</f>
        <v>2.0963892484715529</v>
      </c>
    </row>
    <row r="275" spans="1:4" x14ac:dyDescent="0.2">
      <c r="A275" s="33" t="s">
        <v>82</v>
      </c>
      <c r="B275" s="8">
        <f>'Wealth Models'!AQ15</f>
        <v>9.5873015291833177</v>
      </c>
    </row>
    <row r="276" spans="1:4" x14ac:dyDescent="0.2">
      <c r="A276" t="s">
        <v>83</v>
      </c>
      <c r="B276" s="23">
        <f>'Wealth Models'!AU15</f>
        <v>9.5962308047573952</v>
      </c>
    </row>
    <row r="277" spans="1:4" x14ac:dyDescent="0.2">
      <c r="A277" t="s">
        <v>84</v>
      </c>
      <c r="B277" s="23">
        <f>'Wealth Models'!AU3</f>
        <v>9.5902539223941652</v>
      </c>
    </row>
    <row r="278" spans="1:4" x14ac:dyDescent="0.2">
      <c r="A278" t="s">
        <v>86</v>
      </c>
      <c r="B278" s="8">
        <f>'Wealth Models'!AQ3</f>
        <v>9.5680078748377824</v>
      </c>
    </row>
    <row r="287" spans="1:4" x14ac:dyDescent="0.2">
      <c r="B287" s="39"/>
      <c r="C287" s="39"/>
    </row>
    <row r="288" spans="1:4" x14ac:dyDescent="0.2">
      <c r="A288" s="50"/>
      <c r="B288" s="19"/>
      <c r="C288" s="19"/>
      <c r="D288" s="19"/>
    </row>
    <row r="289" spans="1:4" x14ac:dyDescent="0.2">
      <c r="A289" s="50"/>
      <c r="B289" s="19"/>
      <c r="C289" s="19"/>
      <c r="D289" s="19"/>
    </row>
    <row r="290" spans="1:4" x14ac:dyDescent="0.2">
      <c r="A290" s="50"/>
      <c r="B290" s="19"/>
      <c r="C290" s="19"/>
      <c r="D290" s="19"/>
    </row>
    <row r="291" spans="1:4" x14ac:dyDescent="0.2">
      <c r="A291" s="50"/>
      <c r="B291" s="19"/>
      <c r="C291" s="19"/>
      <c r="D291" s="19"/>
    </row>
    <row r="292" spans="1:4" x14ac:dyDescent="0.2">
      <c r="A292" s="50"/>
      <c r="B292" s="19"/>
      <c r="C292" s="19"/>
      <c r="D292" s="19"/>
    </row>
    <row r="293" spans="1:4" x14ac:dyDescent="0.2">
      <c r="A293" s="50"/>
      <c r="B293" s="19"/>
      <c r="C293" s="19"/>
      <c r="D293" s="19"/>
    </row>
    <row r="294" spans="1:4" x14ac:dyDescent="0.2">
      <c r="A294" s="50"/>
      <c r="B294" s="19"/>
      <c r="C294" s="19"/>
      <c r="D294" s="19"/>
    </row>
    <row r="295" spans="1:4" x14ac:dyDescent="0.2">
      <c r="A295" s="50"/>
      <c r="B295" s="19"/>
      <c r="C295" s="19"/>
      <c r="D295" s="19"/>
    </row>
    <row r="296" spans="1:4" x14ac:dyDescent="0.2">
      <c r="A296" s="50"/>
      <c r="B296" s="19"/>
      <c r="C296" s="19"/>
      <c r="D296" s="19"/>
    </row>
    <row r="297" spans="1:4" x14ac:dyDescent="0.2">
      <c r="A297" s="50"/>
      <c r="B297" s="19"/>
      <c r="C297" s="19"/>
      <c r="D297" s="19"/>
    </row>
  </sheetData>
  <mergeCells count="17">
    <mergeCell ref="A183:D183"/>
    <mergeCell ref="A1:C1"/>
    <mergeCell ref="A24:B24"/>
    <mergeCell ref="A39:B39"/>
    <mergeCell ref="A13:C13"/>
    <mergeCell ref="A42:C42"/>
    <mergeCell ref="A59:C59"/>
    <mergeCell ref="A77:C77"/>
    <mergeCell ref="A98:C98"/>
    <mergeCell ref="A114:C114"/>
    <mergeCell ref="A128:D128"/>
    <mergeCell ref="A164:B164"/>
    <mergeCell ref="A218:F218"/>
    <mergeCell ref="A235:C235"/>
    <mergeCell ref="A253:C253"/>
    <mergeCell ref="A267:C267"/>
    <mergeCell ref="A226:F2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Parameters</vt:lpstr>
      <vt:lpstr>Wealth Models</vt:lpstr>
      <vt:lpstr>Income means-test 5 deciles</vt:lpstr>
      <vt:lpstr>Income means-test 4 deciles</vt:lpstr>
      <vt:lpstr>Income means-test 3 deciles</vt:lpstr>
      <vt:lpstr>Income universal</vt:lpstr>
      <vt:lpstr>Revenue share calc</vt:lpstr>
      <vt:lpstr>Graphs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Mia Andrews</cp:lastModifiedBy>
  <cp:revision/>
  <dcterms:created xsi:type="dcterms:W3CDTF">2025-07-29T22:57:40Z</dcterms:created>
  <dcterms:modified xsi:type="dcterms:W3CDTF">2026-02-01T22:20:19Z</dcterms:modified>
  <cp:category/>
  <cp:contentStatus/>
</cp:coreProperties>
</file>