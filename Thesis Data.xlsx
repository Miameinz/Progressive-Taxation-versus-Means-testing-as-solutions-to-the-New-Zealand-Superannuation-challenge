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9"/>
  <workbookPr/>
  <xr:revisionPtr revIDLastSave="0" documentId="8_{B96DDBA2-714A-420C-A1EB-FB33306CC7C4}" xr6:coauthVersionLast="47" xr6:coauthVersionMax="47" xr10:uidLastSave="{00000000-0000-0000-0000-000000000000}"/>
  <bookViews>
    <workbookView xWindow="240" yWindow="105" windowWidth="14805" windowHeight="8010" firstSheet="5" activeTab="3" xr2:uid="{00000000-000D-0000-FFFF-FFFF00000000}"/>
  </bookViews>
  <sheets>
    <sheet name="Sources" sheetId="2" r:id="rId1"/>
    <sheet name="Parameters" sheetId="24" r:id="rId2"/>
    <sheet name="Population Projections" sheetId="17" r:id="rId3"/>
    <sheet name="Wealth Model" sheetId="26" r:id="rId4"/>
    <sheet name="Wealth by age" sheetId="27" r:id="rId5"/>
    <sheet name="Income Model" sheetId="21" r:id="rId6"/>
    <sheet name="Revenue share calc" sheetId="25"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5" i="26" l="1"/>
  <c r="AQ15" i="26"/>
  <c r="AP20" i="26"/>
  <c r="AO15" i="26"/>
  <c r="AN15" i="26"/>
  <c r="AM15" i="26"/>
  <c r="AK15" i="26"/>
  <c r="AL20" i="26"/>
  <c r="AL16" i="26"/>
  <c r="AI15" i="26"/>
  <c r="AH17" i="26"/>
  <c r="AH18" i="26"/>
  <c r="AH19" i="26"/>
  <c r="AH20" i="26"/>
  <c r="AH16" i="26"/>
  <c r="AG15" i="26"/>
  <c r="AF15" i="26"/>
  <c r="AE15" i="26"/>
  <c r="AD17" i="26"/>
  <c r="AD18" i="26"/>
  <c r="AD19" i="26"/>
  <c r="AD20" i="26"/>
  <c r="AD16" i="26"/>
  <c r="AC15" i="26"/>
  <c r="AB20" i="26"/>
  <c r="AA20" i="26"/>
  <c r="Z20" i="26"/>
  <c r="Y20" i="26"/>
  <c r="Y19" i="26"/>
  <c r="W20" i="26"/>
  <c r="W19" i="26"/>
  <c r="W18" i="26"/>
  <c r="W17" i="26"/>
  <c r="W16" i="26"/>
  <c r="W15" i="26"/>
  <c r="V15" i="26"/>
  <c r="V16" i="26"/>
  <c r="V17" i="26"/>
  <c r="V18" i="26"/>
  <c r="N19" i="26"/>
  <c r="U17" i="26"/>
  <c r="U18" i="26"/>
  <c r="U19" i="26"/>
  <c r="U20" i="26"/>
  <c r="U16" i="26"/>
  <c r="U15" i="26"/>
  <c r="T17" i="26"/>
  <c r="T18" i="26"/>
  <c r="T19" i="26"/>
  <c r="T20" i="26"/>
  <c r="T16" i="26"/>
  <c r="Q17" i="26"/>
  <c r="Q18" i="26"/>
  <c r="Q19" i="26"/>
  <c r="Q20" i="26"/>
  <c r="Q16" i="26"/>
  <c r="R17" i="26"/>
  <c r="R18" i="26"/>
  <c r="R19" i="26"/>
  <c r="R20" i="26"/>
  <c r="R16" i="26"/>
  <c r="O17" i="26"/>
  <c r="O18" i="26"/>
  <c r="O19" i="26"/>
  <c r="O20" i="26"/>
  <c r="O16" i="26"/>
  <c r="N17" i="26"/>
  <c r="N18" i="26"/>
  <c r="N20" i="26"/>
  <c r="N16" i="26"/>
  <c r="J15" i="26"/>
  <c r="I15" i="26"/>
  <c r="T15" i="26"/>
  <c r="F15" i="26"/>
  <c r="E15" i="26"/>
  <c r="H15" i="26" s="1"/>
  <c r="D15" i="26"/>
  <c r="G15" i="26" s="1"/>
  <c r="AD4" i="26" a="1"/>
  <c r="AD4" i="26"/>
  <c r="AH4" i="26" a="1"/>
  <c r="AH4" i="26"/>
  <c r="AR3" i="26"/>
  <c r="AQ3" i="26"/>
  <c r="AP5" i="26"/>
  <c r="AP6" i="26"/>
  <c r="AP7" i="26"/>
  <c r="AP4" i="26"/>
  <c r="AO3" i="26"/>
  <c r="AN3" i="26"/>
  <c r="AM3" i="26"/>
  <c r="AL5" i="26"/>
  <c r="AL6" i="26"/>
  <c r="AL7" i="26"/>
  <c r="AL4" i="26"/>
  <c r="AK3" i="26"/>
  <c r="AB5" i="26"/>
  <c r="AB6" i="26"/>
  <c r="AB7" i="26"/>
  <c r="AB4" i="26"/>
  <c r="Z5" i="26"/>
  <c r="Z6" i="26"/>
  <c r="Z7" i="26"/>
  <c r="Z4" i="26"/>
  <c r="BC41" i="21"/>
  <c r="BC40" i="21"/>
  <c r="BC39" i="21"/>
  <c r="BC38" i="21"/>
  <c r="BC37" i="21"/>
  <c r="BC36" i="21"/>
  <c r="BC35" i="21"/>
  <c r="BC34" i="21"/>
  <c r="BC33" i="21"/>
  <c r="BC32" i="21"/>
  <c r="BE31" i="21"/>
  <c r="BD31" i="21"/>
  <c r="BB31" i="21"/>
  <c r="AU41" i="21"/>
  <c r="AU40" i="21"/>
  <c r="AU39" i="21"/>
  <c r="AU38" i="21"/>
  <c r="AU37" i="21"/>
  <c r="AU36" i="21"/>
  <c r="AU35" i="21"/>
  <c r="AU34" i="21"/>
  <c r="AU33" i="21"/>
  <c r="AU32" i="21"/>
  <c r="AW31" i="21"/>
  <c r="AV31" i="21"/>
  <c r="AT31" i="21"/>
  <c r="AO41" i="21"/>
  <c r="AO40" i="21"/>
  <c r="AO39" i="21"/>
  <c r="AO38" i="21"/>
  <c r="AO37" i="21"/>
  <c r="AO36" i="21"/>
  <c r="AO35" i="21"/>
  <c r="AO34" i="21"/>
  <c r="AO33" i="21"/>
  <c r="AO32" i="21"/>
  <c r="AL32" i="21"/>
  <c r="AL41" i="21"/>
  <c r="AL40" i="21"/>
  <c r="AL39" i="21"/>
  <c r="AL38" i="21"/>
  <c r="AL37" i="21"/>
  <c r="AL36" i="21"/>
  <c r="AL35" i="21"/>
  <c r="AL34" i="21"/>
  <c r="AL33" i="21"/>
  <c r="BC27" i="21"/>
  <c r="BC26" i="21"/>
  <c r="BC25" i="21"/>
  <c r="BC24" i="21"/>
  <c r="BC23" i="21"/>
  <c r="BC22" i="21"/>
  <c r="BC21" i="21"/>
  <c r="BC20" i="21"/>
  <c r="BC19" i="21"/>
  <c r="BC18" i="21"/>
  <c r="BE17" i="21"/>
  <c r="BD17" i="21"/>
  <c r="BB17" i="21"/>
  <c r="AT17" i="21"/>
  <c r="AO18" i="21"/>
  <c r="AO27" i="21"/>
  <c r="AO26" i="21"/>
  <c r="AO25" i="21"/>
  <c r="AO24" i="21"/>
  <c r="AO23" i="21"/>
  <c r="AO22" i="21"/>
  <c r="AO21" i="21"/>
  <c r="AO20" i="21"/>
  <c r="AO19" i="21"/>
  <c r="AL18" i="21"/>
  <c r="AL27" i="21"/>
  <c r="AL26" i="21"/>
  <c r="AL25" i="21"/>
  <c r="AL24" i="21"/>
  <c r="AL23" i="21"/>
  <c r="AL22" i="21"/>
  <c r="AL21" i="21"/>
  <c r="AL20" i="21"/>
  <c r="AL19" i="21"/>
  <c r="AU27" i="21"/>
  <c r="AU26" i="21"/>
  <c r="AU25" i="21"/>
  <c r="AU24" i="21"/>
  <c r="AU23" i="21"/>
  <c r="AU22" i="21"/>
  <c r="AU21" i="21"/>
  <c r="AU20" i="21"/>
  <c r="AU19" i="21"/>
  <c r="AU18" i="21"/>
  <c r="AW17" i="21"/>
  <c r="AV17" i="21"/>
  <c r="BE3" i="21"/>
  <c r="BD3" i="21"/>
  <c r="BC5" i="21"/>
  <c r="BC6" i="21"/>
  <c r="BC7" i="21"/>
  <c r="BC8" i="21"/>
  <c r="BC9" i="21"/>
  <c r="BC10" i="21"/>
  <c r="BC11" i="21"/>
  <c r="BC12" i="21"/>
  <c r="BC13" i="21"/>
  <c r="BC4" i="21"/>
  <c r="BB3" i="21"/>
  <c r="AW3" i="21"/>
  <c r="AV3" i="21"/>
  <c r="AU5" i="21"/>
  <c r="AU6" i="21"/>
  <c r="AU7" i="21"/>
  <c r="AU8" i="21"/>
  <c r="AU9" i="21"/>
  <c r="AU10" i="21"/>
  <c r="AU11" i="21"/>
  <c r="AU12" i="21"/>
  <c r="AU13" i="21"/>
  <c r="AU4" i="21"/>
  <c r="AT3" i="21"/>
  <c r="AC4" i="21"/>
  <c r="AC19" i="21"/>
  <c r="AC20" i="21"/>
  <c r="AC21" i="21"/>
  <c r="AC22" i="21"/>
  <c r="AC23" i="21"/>
  <c r="AC24" i="21"/>
  <c r="AC25" i="21"/>
  <c r="AC26" i="21"/>
  <c r="AC27" i="21"/>
  <c r="AC18" i="21"/>
  <c r="AC33" i="21"/>
  <c r="AC34" i="21"/>
  <c r="AC35" i="21"/>
  <c r="AC36" i="21"/>
  <c r="AC37" i="21"/>
  <c r="AC38" i="21"/>
  <c r="AC39" i="21"/>
  <c r="AC40" i="21"/>
  <c r="AC41" i="21"/>
  <c r="AC32" i="21"/>
  <c r="AC31" i="21"/>
  <c r="AA31" i="21"/>
  <c r="X33" i="21"/>
  <c r="X34" i="21"/>
  <c r="X35" i="21"/>
  <c r="X36" i="21"/>
  <c r="X37" i="21"/>
  <c r="X38" i="21"/>
  <c r="X39" i="21"/>
  <c r="X40" i="21"/>
  <c r="X41" i="21"/>
  <c r="X32" i="21"/>
  <c r="U33" i="21"/>
  <c r="U34" i="21"/>
  <c r="U35" i="21"/>
  <c r="U36" i="21"/>
  <c r="U37" i="21"/>
  <c r="U38" i="21"/>
  <c r="U39" i="21"/>
  <c r="U40" i="21"/>
  <c r="U41" i="21"/>
  <c r="U32" i="21"/>
  <c r="O31" i="21"/>
  <c r="P31" i="21" s="1"/>
  <c r="I31" i="21"/>
  <c r="K31" i="21" s="1"/>
  <c r="F31" i="21"/>
  <c r="E31" i="21"/>
  <c r="H31" i="21" s="1"/>
  <c r="D31" i="21"/>
  <c r="G31" i="21" s="1"/>
  <c r="AC17" i="21"/>
  <c r="AA17" i="21"/>
  <c r="X19" i="21"/>
  <c r="X20" i="21"/>
  <c r="X21" i="21"/>
  <c r="X22" i="21"/>
  <c r="X23" i="21"/>
  <c r="X24" i="21"/>
  <c r="X25" i="21"/>
  <c r="X26" i="21"/>
  <c r="X27" i="21"/>
  <c r="X18" i="21"/>
  <c r="X4" i="21" a="1"/>
  <c r="X4" i="21"/>
  <c r="U18" i="21" a="1"/>
  <c r="U18" i="21"/>
  <c r="F20" i="24"/>
  <c r="F21" i="24"/>
  <c r="F22" i="24"/>
  <c r="F23" i="24"/>
  <c r="F24" i="24"/>
  <c r="F25" i="24"/>
  <c r="F26" i="24"/>
  <c r="F27" i="24"/>
  <c r="F28" i="24"/>
  <c r="F19" i="24"/>
  <c r="O17" i="21"/>
  <c r="I17" i="21"/>
  <c r="J17" i="21" s="1"/>
  <c r="I3" i="21"/>
  <c r="J3" i="21" s="1"/>
  <c r="O3" i="21"/>
  <c r="K17" i="21"/>
  <c r="C36" i="24"/>
  <c r="D36" i="24" s="1"/>
  <c r="F36" i="24"/>
  <c r="F37" i="24"/>
  <c r="F38" i="24"/>
  <c r="F39" i="24"/>
  <c r="F35" i="24"/>
  <c r="A7" i="27"/>
  <c r="A4" i="27"/>
  <c r="E3" i="26"/>
  <c r="D3" i="26"/>
  <c r="B22" i="25"/>
  <c r="F18" i="25"/>
  <c r="D18" i="25"/>
  <c r="C22" i="25"/>
  <c r="C21" i="25"/>
  <c r="C20" i="25"/>
  <c r="C19" i="25"/>
  <c r="B21" i="25"/>
  <c r="B20" i="25"/>
  <c r="B19" i="25"/>
  <c r="B18" i="25"/>
  <c r="C37" i="24"/>
  <c r="D37" i="24" s="1"/>
  <c r="C38" i="24"/>
  <c r="D38" i="24" s="1"/>
  <c r="C39" i="24"/>
  <c r="D39" i="24" s="1"/>
  <c r="Y3" i="26"/>
  <c r="E17" i="21"/>
  <c r="D17" i="21"/>
  <c r="AJ3" i="21"/>
  <c r="AA3" i="21"/>
  <c r="B3" i="24"/>
  <c r="I3" i="26" s="1"/>
  <c r="B2" i="24"/>
  <c r="D5" i="17"/>
  <c r="D4" i="17"/>
  <c r="D3" i="17"/>
  <c r="E5" i="17"/>
  <c r="E4" i="17"/>
  <c r="E3" i="17"/>
  <c r="D3" i="21"/>
  <c r="B28" i="24"/>
  <c r="B27" i="24"/>
  <c r="B26" i="24"/>
  <c r="B25" i="24"/>
  <c r="B24" i="24"/>
  <c r="B23" i="24"/>
  <c r="B22" i="24"/>
  <c r="B21" i="24"/>
  <c r="B20" i="24"/>
  <c r="B19" i="24"/>
  <c r="B12" i="24"/>
  <c r="F3" i="21"/>
  <c r="K15" i="26" l="1"/>
  <c r="M15" i="26" s="1"/>
  <c r="L15" i="26"/>
  <c r="X15" i="26"/>
  <c r="X16" i="26"/>
  <c r="X17" i="26"/>
  <c r="X18" i="26"/>
  <c r="X19" i="26"/>
  <c r="X20" i="26"/>
  <c r="AG18" i="21"/>
  <c r="AG33" i="21"/>
  <c r="AG34" i="21"/>
  <c r="AG35" i="21"/>
  <c r="AG36" i="21"/>
  <c r="AG37" i="21"/>
  <c r="AG38" i="21"/>
  <c r="AG39" i="21"/>
  <c r="AG40" i="21"/>
  <c r="AG41" i="21"/>
  <c r="AG32" i="21"/>
  <c r="AB31" i="21"/>
  <c r="M31" i="21"/>
  <c r="J31" i="21"/>
  <c r="L31" i="21" s="1"/>
  <c r="Q31" i="21"/>
  <c r="S31" i="21" s="1"/>
  <c r="R31" i="21"/>
  <c r="AG4" i="21"/>
  <c r="AG5" i="21"/>
  <c r="AG6" i="21"/>
  <c r="AG7" i="21"/>
  <c r="AG8" i="21"/>
  <c r="AG9" i="21"/>
  <c r="AG10" i="21"/>
  <c r="AG11" i="21"/>
  <c r="AG12" i="21"/>
  <c r="AG13" i="21"/>
  <c r="AG19" i="21"/>
  <c r="AG20" i="21"/>
  <c r="AG21" i="21"/>
  <c r="AG22" i="21"/>
  <c r="AG23" i="21"/>
  <c r="AG24" i="21"/>
  <c r="AG25" i="21"/>
  <c r="AG26" i="21"/>
  <c r="AG27" i="21"/>
  <c r="AB17" i="21"/>
  <c r="F3" i="26"/>
  <c r="U4" i="26"/>
  <c r="U6" i="26"/>
  <c r="F20" i="25"/>
  <c r="D20" i="25"/>
  <c r="G3" i="26"/>
  <c r="H3" i="26"/>
  <c r="U5" i="26"/>
  <c r="F19" i="25"/>
  <c r="D19" i="25"/>
  <c r="D22" i="25"/>
  <c r="U8" i="26"/>
  <c r="F22" i="25"/>
  <c r="U7" i="26"/>
  <c r="F21" i="25"/>
  <c r="D21" i="25"/>
  <c r="D24" i="25" s="1"/>
  <c r="F24" i="25"/>
  <c r="U3" i="26"/>
  <c r="H18" i="25"/>
  <c r="R4" i="26" s="1"/>
  <c r="F26" i="25"/>
  <c r="E19" i="25"/>
  <c r="O5" i="26" s="1"/>
  <c r="E20" i="25"/>
  <c r="O6" i="26" s="1"/>
  <c r="E21" i="25"/>
  <c r="O7" i="26" s="1"/>
  <c r="E18" i="25"/>
  <c r="O4" i="26" s="1"/>
  <c r="E22" i="25"/>
  <c r="O8" i="26" s="1"/>
  <c r="F17" i="21"/>
  <c r="C19" i="24"/>
  <c r="F2" i="25"/>
  <c r="D2" i="25"/>
  <c r="C20" i="24"/>
  <c r="F3" i="25"/>
  <c r="D3" i="25"/>
  <c r="AC5" i="21"/>
  <c r="C21" i="24"/>
  <c r="F4" i="25"/>
  <c r="D4" i="25"/>
  <c r="AC6" i="21"/>
  <c r="C22" i="24"/>
  <c r="F5" i="25"/>
  <c r="D5" i="25"/>
  <c r="AC7" i="21"/>
  <c r="C23" i="24"/>
  <c r="F6" i="25"/>
  <c r="D6" i="25"/>
  <c r="AC8" i="21"/>
  <c r="C24" i="24"/>
  <c r="F7" i="25"/>
  <c r="D7" i="25"/>
  <c r="AC9" i="21"/>
  <c r="C25" i="24"/>
  <c r="F8" i="25"/>
  <c r="D8" i="25"/>
  <c r="AC10" i="21"/>
  <c r="C26" i="24"/>
  <c r="F9" i="25"/>
  <c r="D9" i="25"/>
  <c r="AC11" i="21"/>
  <c r="C27" i="24"/>
  <c r="F10" i="25"/>
  <c r="D10" i="25"/>
  <c r="AC12" i="21"/>
  <c r="C28" i="24"/>
  <c r="F11" i="25"/>
  <c r="D11" i="25"/>
  <c r="AC13" i="21"/>
  <c r="G3" i="21"/>
  <c r="B6" i="24"/>
  <c r="K3" i="26"/>
  <c r="M3" i="26" s="1"/>
  <c r="J3" i="26"/>
  <c r="L3" i="26" s="1"/>
  <c r="Q17" i="21"/>
  <c r="P17" i="21"/>
  <c r="AB3" i="21"/>
  <c r="Q3" i="21"/>
  <c r="P3" i="21"/>
  <c r="K3" i="21"/>
  <c r="E3" i="21"/>
  <c r="H3" i="21" s="1"/>
  <c r="Z19" i="26" l="1"/>
  <c r="AB19" i="26"/>
  <c r="AA19" i="26"/>
  <c r="Z18" i="26"/>
  <c r="Y18" i="26"/>
  <c r="AB18" i="26"/>
  <c r="AA18" i="26"/>
  <c r="Z17" i="26"/>
  <c r="Y17" i="26"/>
  <c r="AB17" i="26"/>
  <c r="AA17" i="26"/>
  <c r="Z16" i="26"/>
  <c r="Y16" i="26"/>
  <c r="AB16" i="26"/>
  <c r="AA16" i="26"/>
  <c r="N15" i="26"/>
  <c r="AC3" i="21"/>
  <c r="T31" i="21"/>
  <c r="N31" i="21"/>
  <c r="AD31" i="21" s="1"/>
  <c r="G17" i="21"/>
  <c r="H17" i="21"/>
  <c r="G21" i="25"/>
  <c r="N3" i="26"/>
  <c r="G22" i="25"/>
  <c r="H22" i="25" s="1"/>
  <c r="R8" i="26" s="1"/>
  <c r="G19" i="25"/>
  <c r="G20" i="25"/>
  <c r="H20" i="25" s="1"/>
  <c r="R6" i="26" s="1"/>
  <c r="H21" i="25"/>
  <c r="R7" i="26" s="1"/>
  <c r="D13" i="25"/>
  <c r="R3" i="21"/>
  <c r="S3" i="21"/>
  <c r="M3" i="21"/>
  <c r="L3" i="21"/>
  <c r="F13" i="25"/>
  <c r="AJ15" i="26" l="1"/>
  <c r="AP16" i="26"/>
  <c r="AP17" i="26"/>
  <c r="AL17" i="26"/>
  <c r="AP18" i="26"/>
  <c r="AL18" i="26"/>
  <c r="AP19" i="26"/>
  <c r="AL19" i="26"/>
  <c r="AD33" i="21"/>
  <c r="AD34" i="21"/>
  <c r="AD35" i="21"/>
  <c r="AD36" i="21"/>
  <c r="AD37" i="21"/>
  <c r="AD38" i="21"/>
  <c r="AD39" i="21"/>
  <c r="AD40" i="21"/>
  <c r="AD41" i="21"/>
  <c r="AD32" i="21"/>
  <c r="Z33" i="21"/>
  <c r="Z34" i="21"/>
  <c r="Z35" i="21"/>
  <c r="Z36" i="21"/>
  <c r="Z37" i="21"/>
  <c r="Z38" i="21"/>
  <c r="Z39" i="21"/>
  <c r="Z40" i="21"/>
  <c r="Z41" i="21"/>
  <c r="Z32" i="21"/>
  <c r="Z31" i="21" s="1"/>
  <c r="W33" i="21"/>
  <c r="W34" i="21"/>
  <c r="W35" i="21"/>
  <c r="W36" i="21"/>
  <c r="W37" i="21"/>
  <c r="W38" i="21"/>
  <c r="W39" i="21"/>
  <c r="W40" i="21"/>
  <c r="W41" i="21"/>
  <c r="W32" i="21"/>
  <c r="V32" i="21"/>
  <c r="V41" i="21"/>
  <c r="V40" i="21"/>
  <c r="V39" i="21"/>
  <c r="V38" i="21"/>
  <c r="V37" i="21"/>
  <c r="V36" i="21"/>
  <c r="V35" i="21"/>
  <c r="V34" i="21"/>
  <c r="V33" i="21"/>
  <c r="Y32" i="21"/>
  <c r="Y41" i="21"/>
  <c r="Y40" i="21"/>
  <c r="Y39" i="21"/>
  <c r="Y38" i="21"/>
  <c r="Y37" i="21"/>
  <c r="Y36" i="21"/>
  <c r="Y35" i="21"/>
  <c r="Y34" i="21"/>
  <c r="Y33" i="21"/>
  <c r="AF31" i="21"/>
  <c r="AE31" i="21"/>
  <c r="G13" i="25"/>
  <c r="V4" i="26"/>
  <c r="V5" i="26"/>
  <c r="V6" i="26"/>
  <c r="V7" i="26"/>
  <c r="V8" i="26"/>
  <c r="M17" i="21"/>
  <c r="S17" i="21"/>
  <c r="L17" i="21"/>
  <c r="R17" i="21"/>
  <c r="S8" i="26"/>
  <c r="T8" i="26" s="1"/>
  <c r="P5" i="26"/>
  <c r="S6" i="26"/>
  <c r="T6" i="26" s="1"/>
  <c r="S7" i="26"/>
  <c r="T7" i="26" s="1"/>
  <c r="P8" i="26"/>
  <c r="Q8" i="26" s="1"/>
  <c r="P7" i="26"/>
  <c r="Q7" i="26" s="1"/>
  <c r="P6" i="26"/>
  <c r="Q6" i="26" s="1"/>
  <c r="Q5" i="26"/>
  <c r="V3" i="26"/>
  <c r="W8" i="26"/>
  <c r="G24" i="25"/>
  <c r="G25" i="25" s="1"/>
  <c r="H19" i="25"/>
  <c r="R5" i="26" s="1"/>
  <c r="S5" i="26" s="1"/>
  <c r="T5" i="26" s="1"/>
  <c r="E2" i="25"/>
  <c r="W3" i="26"/>
  <c r="H2" i="25"/>
  <c r="E19" i="24" s="1"/>
  <c r="N3" i="21"/>
  <c r="AD3" i="21" s="1"/>
  <c r="AD18" i="21" s="1"/>
  <c r="AE32" i="21" l="1"/>
  <c r="AH32" i="21" s="1"/>
  <c r="AJ32" i="21" s="1"/>
  <c r="AF32" i="21"/>
  <c r="AF41" i="21"/>
  <c r="AI41" i="21" s="1"/>
  <c r="AM41" i="21" s="1"/>
  <c r="AE41" i="21"/>
  <c r="AH41" i="21" s="1"/>
  <c r="AJ41" i="21" s="1"/>
  <c r="AF40" i="21"/>
  <c r="AI40" i="21" s="1"/>
  <c r="AM40" i="21" s="1"/>
  <c r="AE40" i="21"/>
  <c r="AH40" i="21" s="1"/>
  <c r="AJ40" i="21" s="1"/>
  <c r="AF39" i="21"/>
  <c r="AI39" i="21" s="1"/>
  <c r="AM39" i="21" s="1"/>
  <c r="AE39" i="21"/>
  <c r="AH39" i="21" s="1"/>
  <c r="AJ39" i="21" s="1"/>
  <c r="AF38" i="21"/>
  <c r="AI38" i="21" s="1"/>
  <c r="AM38" i="21" s="1"/>
  <c r="AE38" i="21"/>
  <c r="AH38" i="21" s="1"/>
  <c r="AJ38" i="21" s="1"/>
  <c r="AF37" i="21"/>
  <c r="AI37" i="21" s="1"/>
  <c r="AM37" i="21" s="1"/>
  <c r="AE37" i="21"/>
  <c r="AH37" i="21" s="1"/>
  <c r="AJ37" i="21" s="1"/>
  <c r="AF36" i="21"/>
  <c r="AI36" i="21" s="1"/>
  <c r="AM36" i="21" s="1"/>
  <c r="AE36" i="21"/>
  <c r="AH36" i="21" s="1"/>
  <c r="AJ36" i="21" s="1"/>
  <c r="AF35" i="21"/>
  <c r="AI35" i="21" s="1"/>
  <c r="AM35" i="21" s="1"/>
  <c r="AE35" i="21"/>
  <c r="AH35" i="21" s="1"/>
  <c r="AJ35" i="21" s="1"/>
  <c r="AF34" i="21"/>
  <c r="AI34" i="21" s="1"/>
  <c r="AM34" i="21" s="1"/>
  <c r="AE34" i="21"/>
  <c r="AH34" i="21" s="1"/>
  <c r="AJ34" i="21" s="1"/>
  <c r="AF33" i="21"/>
  <c r="AI33" i="21" s="1"/>
  <c r="AM33" i="21" s="1"/>
  <c r="AE33" i="21"/>
  <c r="AH33" i="21" s="1"/>
  <c r="AJ33" i="21" s="1"/>
  <c r="AD19" i="21"/>
  <c r="AD20" i="21"/>
  <c r="AD21" i="21"/>
  <c r="AD22" i="21"/>
  <c r="AD23" i="21"/>
  <c r="AD24" i="21"/>
  <c r="AD25" i="21"/>
  <c r="AD26" i="21"/>
  <c r="AD27" i="21"/>
  <c r="AD5" i="21"/>
  <c r="AD6" i="21"/>
  <c r="AD7" i="21"/>
  <c r="AD8" i="21"/>
  <c r="AD9" i="21"/>
  <c r="AD10" i="21"/>
  <c r="AD11" i="21"/>
  <c r="AD12" i="21"/>
  <c r="AD13" i="21"/>
  <c r="AD4" i="21"/>
  <c r="T17" i="21"/>
  <c r="N17" i="21"/>
  <c r="AD17" i="21" s="1"/>
  <c r="AE17" i="21" s="1"/>
  <c r="W5" i="26"/>
  <c r="G3" i="25"/>
  <c r="H3" i="25" s="1"/>
  <c r="E20" i="24" s="1"/>
  <c r="AE3" i="21"/>
  <c r="T3" i="21"/>
  <c r="E11" i="25"/>
  <c r="D28" i="24" s="1"/>
  <c r="E10" i="25"/>
  <c r="D27" i="24" s="1"/>
  <c r="E9" i="25"/>
  <c r="D26" i="24" s="1"/>
  <c r="E8" i="25"/>
  <c r="D25" i="24" s="1"/>
  <c r="E7" i="25"/>
  <c r="D24" i="24" s="1"/>
  <c r="E6" i="25"/>
  <c r="D23" i="24" s="1"/>
  <c r="E5" i="25"/>
  <c r="D22" i="24" s="1"/>
  <c r="E4" i="25"/>
  <c r="D21" i="24" s="1"/>
  <c r="E3" i="25"/>
  <c r="D20" i="24" s="1"/>
  <c r="D19" i="24"/>
  <c r="Y4" i="21" l="1"/>
  <c r="Y5" i="21"/>
  <c r="Y6" i="21"/>
  <c r="Y7" i="21"/>
  <c r="Y8" i="21"/>
  <c r="Y9" i="21"/>
  <c r="Y10" i="21"/>
  <c r="Y11" i="21"/>
  <c r="Y12" i="21"/>
  <c r="Y13" i="21"/>
  <c r="V18" i="21"/>
  <c r="V19" i="21"/>
  <c r="V20" i="21"/>
  <c r="V21" i="21"/>
  <c r="V22" i="21"/>
  <c r="V23" i="21"/>
  <c r="V24" i="21"/>
  <c r="V25" i="21"/>
  <c r="V26" i="21"/>
  <c r="V27" i="21"/>
  <c r="Y18" i="21"/>
  <c r="Y27" i="21"/>
  <c r="Y26" i="21"/>
  <c r="Y25" i="21"/>
  <c r="Y24" i="21"/>
  <c r="Y23" i="21"/>
  <c r="Y22" i="21"/>
  <c r="Y21" i="21"/>
  <c r="Y20" i="21"/>
  <c r="Y19" i="21"/>
  <c r="AI32" i="21"/>
  <c r="AM32" i="21" s="1"/>
  <c r="BA31" i="21" s="1"/>
  <c r="AS31" i="21"/>
  <c r="Z19" i="21"/>
  <c r="Z20" i="21"/>
  <c r="Z21" i="21"/>
  <c r="Z22" i="21"/>
  <c r="Z23" i="21"/>
  <c r="Z24" i="21"/>
  <c r="Z25" i="21"/>
  <c r="Z26" i="21"/>
  <c r="Z27" i="21"/>
  <c r="Z18" i="21"/>
  <c r="W19" i="21"/>
  <c r="W20" i="21"/>
  <c r="W21" i="21"/>
  <c r="W22" i="21"/>
  <c r="W23" i="21"/>
  <c r="W24" i="21"/>
  <c r="W25" i="21"/>
  <c r="W26" i="21"/>
  <c r="W27" i="21"/>
  <c r="W18" i="21"/>
  <c r="AE18" i="21"/>
  <c r="AH18" i="21" s="1"/>
  <c r="AJ18" i="21" s="1"/>
  <c r="U4" i="21"/>
  <c r="Q4" i="26"/>
  <c r="W4" i="26" s="1"/>
  <c r="Y4" i="26" s="1"/>
  <c r="U5" i="21"/>
  <c r="V5" i="21" s="1"/>
  <c r="Y5" i="26"/>
  <c r="U6" i="21"/>
  <c r="V6" i="21" s="1"/>
  <c r="W6" i="26"/>
  <c r="Y6" i="26" s="1"/>
  <c r="U7" i="21"/>
  <c r="V7" i="21" s="1"/>
  <c r="W7" i="26"/>
  <c r="Y7" i="26" s="1"/>
  <c r="U8" i="21"/>
  <c r="V8" i="21" s="1"/>
  <c r="U9" i="21"/>
  <c r="V9" i="21" s="1"/>
  <c r="U10" i="21"/>
  <c r="V10" i="21" s="1"/>
  <c r="U11" i="21"/>
  <c r="V11" i="21" s="1"/>
  <c r="U12" i="21"/>
  <c r="V12" i="21" s="1"/>
  <c r="U13" i="21"/>
  <c r="V13" i="21" s="1"/>
  <c r="AF19" i="21"/>
  <c r="AI19" i="21" s="1"/>
  <c r="AM19" i="21" s="1"/>
  <c r="AE19" i="21"/>
  <c r="AH19" i="21" s="1"/>
  <c r="AF20" i="21"/>
  <c r="AI20" i="21" s="1"/>
  <c r="AM20" i="21" s="1"/>
  <c r="AE20" i="21"/>
  <c r="AH20" i="21" s="1"/>
  <c r="AF21" i="21"/>
  <c r="AI21" i="21" s="1"/>
  <c r="AM21" i="21" s="1"/>
  <c r="AE21" i="21"/>
  <c r="AH21" i="21" s="1"/>
  <c r="AF22" i="21"/>
  <c r="AI22" i="21" s="1"/>
  <c r="AM22" i="21" s="1"/>
  <c r="AE22" i="21"/>
  <c r="AH22" i="21" s="1"/>
  <c r="AF23" i="21"/>
  <c r="AI23" i="21" s="1"/>
  <c r="AM23" i="21" s="1"/>
  <c r="AE23" i="21"/>
  <c r="AH23" i="21" s="1"/>
  <c r="AF24" i="21"/>
  <c r="AI24" i="21" s="1"/>
  <c r="AM24" i="21" s="1"/>
  <c r="AE24" i="21"/>
  <c r="AH24" i="21" s="1"/>
  <c r="AF25" i="21"/>
  <c r="AI25" i="21" s="1"/>
  <c r="AM25" i="21" s="1"/>
  <c r="AE25" i="21"/>
  <c r="AH25" i="21" s="1"/>
  <c r="AF26" i="21"/>
  <c r="AI26" i="21" s="1"/>
  <c r="AM26" i="21" s="1"/>
  <c r="AE26" i="21"/>
  <c r="AH26" i="21" s="1"/>
  <c r="AF27" i="21"/>
  <c r="AI27" i="21" s="1"/>
  <c r="AM27" i="21" s="1"/>
  <c r="AE27" i="21"/>
  <c r="AH27" i="21" s="1"/>
  <c r="G4" i="25"/>
  <c r="W4" i="21"/>
  <c r="AE4" i="21" s="1"/>
  <c r="AH4" i="21" s="1"/>
  <c r="W5" i="21"/>
  <c r="AE5" i="21" s="1"/>
  <c r="AH5" i="21" s="1"/>
  <c r="W6" i="21"/>
  <c r="W7" i="21"/>
  <c r="W8" i="21"/>
  <c r="W9" i="21"/>
  <c r="W10" i="21"/>
  <c r="W11" i="21"/>
  <c r="W12" i="21"/>
  <c r="W13" i="21"/>
  <c r="G11" i="25"/>
  <c r="H11" i="25" s="1"/>
  <c r="E28" i="24" s="1"/>
  <c r="G10" i="25"/>
  <c r="H10" i="25" s="1"/>
  <c r="E27" i="24" s="1"/>
  <c r="G9" i="25"/>
  <c r="H9" i="25" s="1"/>
  <c r="E26" i="24" s="1"/>
  <c r="G8" i="25"/>
  <c r="H8" i="25" s="1"/>
  <c r="E25" i="24" s="1"/>
  <c r="G7" i="25"/>
  <c r="H7" i="25" s="1"/>
  <c r="E24" i="24" s="1"/>
  <c r="G6" i="25"/>
  <c r="H6" i="25" s="1"/>
  <c r="E23" i="24" s="1"/>
  <c r="G5" i="25"/>
  <c r="H5" i="25" s="1"/>
  <c r="E22" i="24" s="1"/>
  <c r="H4" i="25"/>
  <c r="E21" i="24" s="1"/>
  <c r="AJ5" i="21" l="1"/>
  <c r="AL5" i="21"/>
  <c r="AJ4" i="21"/>
  <c r="AL4" i="21"/>
  <c r="AK5" i="21"/>
  <c r="AK4" i="21"/>
  <c r="AK41" i="21"/>
  <c r="AK40" i="21"/>
  <c r="AK39" i="21"/>
  <c r="AK38" i="21"/>
  <c r="AK37" i="21"/>
  <c r="AK36" i="21"/>
  <c r="AK35" i="21"/>
  <c r="AK34" i="21"/>
  <c r="AK33" i="21"/>
  <c r="AK32" i="21"/>
  <c r="AJ27" i="21"/>
  <c r="AJ26" i="21"/>
  <c r="AJ25" i="21"/>
  <c r="AJ24" i="21"/>
  <c r="AJ23" i="21"/>
  <c r="AJ22" i="21"/>
  <c r="AJ21" i="21"/>
  <c r="AJ20" i="21"/>
  <c r="AJ19" i="21"/>
  <c r="AE13" i="21"/>
  <c r="AH13" i="21" s="1"/>
  <c r="AE12" i="21"/>
  <c r="AH12" i="21" s="1"/>
  <c r="AE11" i="21"/>
  <c r="AH11" i="21" s="1"/>
  <c r="AE10" i="21"/>
  <c r="AH10" i="21" s="1"/>
  <c r="AE9" i="21"/>
  <c r="AH9" i="21" s="1"/>
  <c r="AE8" i="21"/>
  <c r="AH8" i="21" s="1"/>
  <c r="AE7" i="21"/>
  <c r="AH7" i="21" s="1"/>
  <c r="AE6" i="21"/>
  <c r="AH6" i="21" s="1"/>
  <c r="G15" i="25"/>
  <c r="G16" i="25" s="1"/>
  <c r="AJ6" i="21" l="1"/>
  <c r="AK6" i="21" s="1"/>
  <c r="AL6" i="21"/>
  <c r="AJ7" i="21"/>
  <c r="AK7" i="21" s="1"/>
  <c r="AL7" i="21"/>
  <c r="AJ8" i="21"/>
  <c r="AK8" i="21" s="1"/>
  <c r="AL8" i="21"/>
  <c r="AJ9" i="21"/>
  <c r="AK9" i="21" s="1"/>
  <c r="AL9" i="21"/>
  <c r="AJ10" i="21"/>
  <c r="AK10" i="21" s="1"/>
  <c r="AL10" i="21"/>
  <c r="AJ11" i="21"/>
  <c r="AK11" i="21" s="1"/>
  <c r="AL11" i="21"/>
  <c r="AJ12" i="21"/>
  <c r="AK12" i="21" s="1"/>
  <c r="AL12" i="21"/>
  <c r="AJ13" i="21"/>
  <c r="AK13" i="21" s="1"/>
  <c r="AL13" i="21"/>
  <c r="AP3" i="21"/>
  <c r="AQ32" i="21" a="1"/>
  <c r="AQ32" i="21" s="1"/>
  <c r="AR31" i="21" s="1"/>
  <c r="AP31" i="21"/>
  <c r="AS3" i="21"/>
  <c r="AQ4" i="21" a="1"/>
  <c r="AF3" i="26"/>
  <c r="AC3" i="26"/>
  <c r="T4" i="26"/>
  <c r="X4" i="26" s="1"/>
  <c r="AA4" i="26" s="1"/>
  <c r="X7" i="26"/>
  <c r="AA7" i="26" s="1"/>
  <c r="X6" i="26"/>
  <c r="AA6" i="26" s="1"/>
  <c r="X5" i="26"/>
  <c r="AA5" i="26" s="1"/>
  <c r="Z4" i="21"/>
  <c r="Z5" i="21"/>
  <c r="AF5" i="21" s="1"/>
  <c r="AI5" i="21" s="1"/>
  <c r="Z6" i="21"/>
  <c r="AF6" i="21" s="1"/>
  <c r="AI6" i="21" s="1"/>
  <c r="Z7" i="21"/>
  <c r="AF7" i="21" s="1"/>
  <c r="AI7" i="21" s="1"/>
  <c r="Z8" i="21"/>
  <c r="AF8" i="21" s="1"/>
  <c r="AI8" i="21" s="1"/>
  <c r="Z9" i="21"/>
  <c r="AF9" i="21" s="1"/>
  <c r="AI9" i="21" s="1"/>
  <c r="Z10" i="21"/>
  <c r="AF10" i="21" s="1"/>
  <c r="AI10" i="21" s="1"/>
  <c r="Z11" i="21"/>
  <c r="AF11" i="21" s="1"/>
  <c r="AI11" i="21" s="1"/>
  <c r="Z12" i="21"/>
  <c r="AF12" i="21" s="1"/>
  <c r="AI12" i="21" s="1"/>
  <c r="Z13" i="21"/>
  <c r="AF13" i="21" s="1"/>
  <c r="AI13" i="21" s="1"/>
  <c r="AM13" i="21" l="1"/>
  <c r="AO13" i="21"/>
  <c r="AM12" i="21"/>
  <c r="AO12" i="21"/>
  <c r="AM11" i="21"/>
  <c r="AO11" i="21"/>
  <c r="AM10" i="21"/>
  <c r="AO10" i="21"/>
  <c r="AM9" i="21"/>
  <c r="AO9" i="21"/>
  <c r="AM8" i="21"/>
  <c r="AO8" i="21"/>
  <c r="AM7" i="21"/>
  <c r="AO7" i="21"/>
  <c r="AM6" i="21"/>
  <c r="AO6" i="21"/>
  <c r="AM5" i="21"/>
  <c r="AO5" i="21"/>
  <c r="AQ4" i="21"/>
  <c r="AR3" i="21" s="1"/>
  <c r="X8" i="26"/>
  <c r="AE3" i="26"/>
  <c r="T3" i="26"/>
  <c r="X3" i="26" s="1"/>
  <c r="Z3" i="21"/>
  <c r="AF3" i="21" s="1"/>
  <c r="AF4" i="21"/>
  <c r="AI4" i="21" s="1"/>
  <c r="AM4" i="21" l="1"/>
  <c r="BA3" i="21" s="1"/>
  <c r="AO4" i="21"/>
  <c r="AN4" i="21"/>
  <c r="AN5" i="21"/>
  <c r="AN6" i="21"/>
  <c r="AN7" i="21"/>
  <c r="AN8" i="21"/>
  <c r="AN9" i="21"/>
  <c r="AN10" i="21"/>
  <c r="AN11" i="21"/>
  <c r="AN12" i="21"/>
  <c r="AN13" i="21"/>
  <c r="AI3" i="26"/>
  <c r="AJ3" i="26"/>
  <c r="AG3" i="26"/>
  <c r="AX3" i="21" l="1"/>
  <c r="AY4" i="21" a="1"/>
  <c r="AY4" i="21" s="1"/>
  <c r="AZ3" i="21" s="1"/>
  <c r="Z17" i="21"/>
  <c r="AF17" i="21" s="1"/>
  <c r="AF18" i="21"/>
  <c r="AI18" i="21" s="1"/>
  <c r="AM18" i="21" s="1"/>
  <c r="BA17" i="21" l="1"/>
  <c r="AN18" i="21"/>
  <c r="AN41" i="21"/>
  <c r="AN40" i="21"/>
  <c r="AN39" i="21"/>
  <c r="AN38" i="21"/>
  <c r="AN37" i="21"/>
  <c r="AN36" i="21"/>
  <c r="AN35" i="21"/>
  <c r="AN34" i="21"/>
  <c r="AN33" i="21"/>
  <c r="AN32" i="21"/>
  <c r="AK18" i="21"/>
  <c r="AS17" i="21"/>
  <c r="AK19" i="21"/>
  <c r="AK20" i="21"/>
  <c r="AK21" i="21"/>
  <c r="AK22" i="21"/>
  <c r="AK23" i="21"/>
  <c r="AK24" i="21"/>
  <c r="AK25" i="21"/>
  <c r="AK26" i="21"/>
  <c r="AK27" i="21"/>
  <c r="AN19" i="21"/>
  <c r="AN20" i="21"/>
  <c r="AN21" i="21"/>
  <c r="AN22" i="21"/>
  <c r="AN23" i="21"/>
  <c r="AN24" i="21"/>
  <c r="AN25" i="21"/>
  <c r="AN26" i="21"/>
  <c r="AN27" i="21"/>
  <c r="AQ18" i="21" l="1" a="1"/>
  <c r="AQ18" i="21" s="1"/>
  <c r="AR17" i="21" s="1"/>
  <c r="AP17" i="21"/>
  <c r="AY32" i="21" a="1"/>
  <c r="AY32" i="21" s="1"/>
  <c r="AZ31" i="21" s="1"/>
  <c r="AX31" i="21"/>
  <c r="AX17" i="21"/>
  <c r="AY18" i="21" a="1"/>
  <c r="AY18" i="21" s="1"/>
  <c r="AZ17" i="2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<sst xmlns="http://schemas.openxmlformats.org/spreadsheetml/2006/main" count="829" uniqueCount="504">
  <si>
    <t>Unread</t>
  </si>
  <si>
    <t>Intext citation</t>
  </si>
  <si>
    <t>Title</t>
  </si>
  <si>
    <t>Author</t>
  </si>
  <si>
    <t>Where I found it</t>
  </si>
  <si>
    <t>Link</t>
  </si>
  <si>
    <t>Abstract</t>
  </si>
  <si>
    <t>My summary</t>
  </si>
  <si>
    <t>Key Quotes/ Data (with page numbers)</t>
  </si>
  <si>
    <t>No. of Pages</t>
  </si>
  <si>
    <t>https://www.treasury.govt.nz/sites/default/files/2007-11/prg-msd-dnzcrif.pdf</t>
  </si>
  <si>
    <t>Overview of retirement framework in NZ from 2003</t>
  </si>
  <si>
    <t>NZCTU Economic Bulletin August</t>
  </si>
  <si>
    <t>Email (subscribed)</t>
  </si>
  <si>
    <t>https://union.org.nz/economic-bulletin-august-2025/</t>
  </si>
  <si>
    <t>In the feature article we examine Inland Revenue’s draft report on tax options for an ageing population. Unless there are changes to taxation, an ageing population will squeeze the government’s accounts from two sides. On the revenue side, it will mean proportionally fewer working-age people are providing tax revenue to the government. On the expenditure side, it will mean a growing superannuation and healthcare bill. Inland Revenue’s briefing discusses the pros and cons of different tax options that can be used to help address this. We take a close look at three in particular: a comprehensive capital gains tax, an inheritance tax, and increases to the GST rate.</t>
  </si>
  <si>
    <t>to be provided</t>
  </si>
  <si>
    <t>Nicholas Bar and Peter Diamond</t>
  </si>
  <si>
    <t>Andrew Binning (Treasury) - First follow up email</t>
  </si>
  <si>
    <t>https://doi.org/10.1093/acprof:oso/9780195387728.001.0001</t>
  </si>
  <si>
    <t>Mandatory pension systems are a worldwide phenomenon. Many need reform. This book, a summary of a longer book, sets out an extensive but nontechnical explanation of the economics of pension design. The book recognizes the multiple objectives of pension plans: consumption smoothing, insurance, poverty relief, and redistribution. Analysis includes discussion of labor markets, capital markets, risk sharing, and gender and family. This is supplemented by discussion of implementation, and of experiences, both good and bad, in many countries, with particular attention to China and Chile.</t>
  </si>
  <si>
    <t>Andrew advises key points are covered in the two papers reforming pensions and cover the economics of pensions</t>
  </si>
  <si>
    <t>&gt;210</t>
  </si>
  <si>
    <t xml:space="preserve">Reforming pensions: principles, analytical errors and policy directions </t>
  </si>
  <si>
    <t>Andrew Binning Treasury) - First follow up email</t>
  </si>
  <si>
    <t>https://eprints.lse.ac.uk/25099/1/Reforming_pensions_(LSERO_version).pdf</t>
  </si>
  <si>
    <t>The Economics of Pensions</t>
  </si>
  <si>
    <t>https://eprints.lse.ac.uk/2630/1/economics_of_pensions_final.pdf</t>
  </si>
  <si>
    <t>Reversing Pension Privatization:
Rebuilding public pension systems in Eastern European
and Latin American countries (2000-18)</t>
  </si>
  <si>
    <t>International Labour Office</t>
  </si>
  <si>
    <t>https://www.ilo.org/sites/default/files/wcmsp5/groups/public/%40ed_protect/%40soc_sec/documents/publication/wcms_648639.pdf</t>
  </si>
  <si>
    <t>From Andrew: This document sets out criteria for measuring pension systems, and makes a case against save-as-you-go</t>
  </si>
  <si>
    <t xml:space="preserve">Beyond Contributory Pensions
Fourteen Experiences with Coverage
Expansion in Latin America </t>
  </si>
  <si>
    <t>World Bank</t>
  </si>
  <si>
    <t>https://documents1.worldbank.org/curated/en/436241468045861160/pdf/928720PUB0Box3021039009781464803901.pdf</t>
  </si>
  <si>
    <t>Andrew recommends the first chapter as it sets out criteria for evaluating pension policy</t>
  </si>
  <si>
    <t>Rethinking Pension Reform</t>
  </si>
  <si>
    <t>Centre for Ecnomic Policy Research</t>
  </si>
  <si>
    <t>https://cepr.org/system/files/publication-files/219445-rethinking_pension_reform.pdf</t>
  </si>
  <si>
    <t>Andrew: There is a chapter about how changes of the pension age of eligibility affect the uptake of other social welfare policies, with some references to the relevant literature.</t>
  </si>
  <si>
    <t>Policy Quarterly</t>
  </si>
  <si>
    <t>Chris Thompson (Treasury) - In person</t>
  </si>
  <si>
    <t>https://ojs.victoria.ac.nz/pq/issue/view/1030</t>
  </si>
  <si>
    <t>Chris advised that the upcoming August edition of this will be able the pension</t>
  </si>
  <si>
    <t>Pensions, Savings and Housing: A Life-cycle Framework with Policy Simulations</t>
  </si>
  <si>
    <t>Creedy, John
Gemmell, Norman
Scobie, Grant</t>
  </si>
  <si>
    <t>https://digitalnz.org/nzresearch</t>
  </si>
  <si>
    <t>https://ir.wgtn.ac.nz/server/api/core/bitstreams/89e7da4d-6e1d-409b-a690-ece4e642386d/content</t>
  </si>
  <si>
    <t>The objective of the paper is to explore the saving and consumption responses of a representative household to a range of policy interventions such as changes in taxes and pension settings. To achieve this, it develops a two-period life-cycle model. The representative household maximises lifetime utility through its choice of optimal levels of consumption, housing and saving. A key feature of the approach is modelling the consumption of housing services as a separate good in retirement along with the implications for saving. Importantly, the model incorporates a government budget constraint involving a pay-as-you-go universal pension. In addition, the model allows for a compulsory private retirement savings scheme. Particular attention in the simulations is given to the potential impact on household saving rates of a range of policy changes. Typically the effect on saving rates is modest. In most instances, it would take very substantial changes in existing policy settings to induce significant increases in household saving rates.</t>
  </si>
  <si>
    <t>Aotearoa New Zealand in 2050</t>
  </si>
  <si>
    <t>NZIER</t>
  </si>
  <si>
    <t>Retirement Commision website</t>
  </si>
  <si>
    <t>https://assets.retirement.govt.nz/public/Uploads/Aotearoa-New-Zealand-in-2050-FINAL-v3.pdf</t>
  </si>
  <si>
    <t>New Zealand Institute of Economic Research (NZIER) was commissioned by Te Ara Ahunga Ora Retirement Commission to explore what Aotearoa New Zealand might look like in 2050 and how retirement income policies may need to adapt. This report draws on existing projections from NZ Stats and Treasury and, in some cases, extends them to 2050 using simple linear prediction models but does not account for underlying drivers.</t>
  </si>
  <si>
    <t>Revenue Statistics in Asia and the Pacific 2025: New Zealand</t>
  </si>
  <si>
    <t>OECD</t>
  </si>
  <si>
    <t>Found during 403 research</t>
  </si>
  <si>
    <t>https://www.oecd.org/en/publications/revenue-statistics-in-asia-and-the-pacific-2025-country-notes_30d43f41-en/new-zealand_85481e0c-en.html</t>
  </si>
  <si>
    <t>These economy-specific summaries are based on the results shown in the 2025 edition of Revenue Statistics in Asia and the Pacific. They include data on the level and structure of tax revenue for each of the economies covered by the report up to 2023 and show how their results compare to those of other economies in the region as well as the average for Asia and the Pacific. The summaries provide a detailed breakdown of tax revenue for 2023 in national currency and as a percentage of GDP, while also highlighting changes from 2022. The summaries are updated yearly and are available on the day of the launch of the Revenue Statistics in Asia and the Pacific report.</t>
  </si>
  <si>
    <t>Employment Responses
to Income Effect
Evidence from Pension Reform</t>
  </si>
  <si>
    <t>Sebastian Becker, Hermann Buslei, Johannes Geyer, Peter Haan</t>
  </si>
  <si>
    <t>From Robert</t>
  </si>
  <si>
    <t>https://www.diw.de/documents/publikationen/73/diw_01.c.815476.de/dp1941.pdf</t>
  </si>
  <si>
    <t>From Robert: (this captures the incentive effect from the 'income', which is not exactly the same as the incentive effect from the means testing itself, but I think we can just gloss over that difference for now, and later if you want to then you can try to find a more precise elasticity for the means testing, but only if you later decide that is what you think is important)</t>
  </si>
  <si>
    <t>Labour elasticity data point</t>
  </si>
  <si>
    <t>Distributional Effects of Means Testing Social Security: Income Versus Wealth</t>
  </si>
  <si>
    <t>Alan Gustman, Thomas Steinmeier &amp; Nahid Tabatabai</t>
  </si>
  <si>
    <t>National Bureau of Economic Research</t>
  </si>
  <si>
    <t>https://www.nber.org/papers/w22424</t>
  </si>
  <si>
    <t>Looks at income versus asset means testing and individual versus couple means testing</t>
  </si>
  <si>
    <t>Asset tested means testing effects younger retirees, potentially encouraging them to work longer</t>
  </si>
  <si>
    <t>Financial security and economic participation indicator</t>
  </si>
  <si>
    <t>He Oranga Kaumātua</t>
  </si>
  <si>
    <t>https://www.officeforseniors.govt.nz/assets/documents/our-work/better-later-life/indicators/Initial-indicator-Better-Later-Life-achieving-financial-security-and-economic-participation.pdf</t>
  </si>
  <si>
    <t>General employment, income, and asset nformaton for older New Zealandeers</t>
  </si>
  <si>
    <t>https://www.unitedwaycleveland.org/benefits-cliff-challenges-and-solutions/</t>
  </si>
  <si>
    <t>The Treasury's CBAx Tool</t>
  </si>
  <si>
    <t>https://www.treasury.govt.nz/information-and-services/public-sector-leadership/investment-management/investment-planning/treasurys-cbax-tool</t>
  </si>
  <si>
    <t>Tools to complete a wellbeing focused CBA</t>
  </si>
  <si>
    <t>Wealth in New Zealand</t>
  </si>
  <si>
    <t>Max Rashbrooke</t>
  </si>
  <si>
    <t xml:space="preserve">Max rashbrook wealth in New Zealand gives a good argument for the s maximin social welfare model towards the end that could be included in thesisReasons to suppose equality of Wellbeing might matter (prioritsrianism)? 
Because wellbeing begets wellbeing, and those with low wellbeing might be less well able to continue to grow their wellbeing over time
Relational egalitarianism - we pay to exist in Society. </t>
  </si>
  <si>
    <t>Sceince Direct</t>
  </si>
  <si>
    <t>https://www.sciencedirect.com/topics/economics-econometrics-and-finance/social-welfare-function</t>
  </si>
  <si>
    <t>Multiple articles about SWF</t>
  </si>
  <si>
    <t xml:space="preserve">
Book
Save as you go or pay as you go? : the age old policy debate
</t>
  </si>
  <si>
    <t>Susan St John</t>
  </si>
  <si>
    <t>Fiscal sustainability in an ageing population : adapting universal provision</t>
  </si>
  <si>
    <t>Intergenerational impacts : the sustainability of New Zealand superannuation : commissioned report</t>
  </si>
  <si>
    <t xml:space="preserve">Private pensions in New Zealand : can they avert the 'crisis'?
</t>
  </si>
  <si>
    <t>The sociocultural framing of public attitudes to sharing the costs of social care for older people in England</t>
  </si>
  <si>
    <t>https://tewaharoa.victoria.ac.nz/discovery/fulldisplay?docid=cdi_pubmed_primary_35929403&amp;context=PC&amp;vid=64VUW_INST:VUWNUI&amp;lang=en&amp;search_scope=MyInst_and_CI&amp;adaptor=Primo%20Central&amp;tab=all&amp;query=any,contains,%22politic*%22%20AND%20%22comm*%22%20AND%20%22tax%22%20AND%20%22reform%22%20AND%20%22public%22%20AND%20%22narrative%22&amp;offset=0</t>
  </si>
  <si>
    <t>Relevant</t>
  </si>
  <si>
    <t>https://www.treasury.govt.nz/sites/default/files/2013-07/twp13-13.pdf</t>
  </si>
  <si>
    <t>Pensioners earn relatively low market incomes</t>
  </si>
  <si>
    <t>https://www.treasury.govt.nz/publications/research-and-commentary/rangitaki-blog/why-high-income-households-get-benefits</t>
  </si>
  <si>
    <t>Equivalisation is a process to make incomes comparable across different sized households. So for instance a $40,000 household with one adult is not considered the same as a $40,000 household with two adults and two children. This is because the household with the children has to share their income across more family members, so the single adult would usually be assumed to be better-off – in material terms – than the family with children (ignoring wealth). The 'equivalised income' takes account of this difference. In this case we use square root equivalisation which is the method used by the OECD, though it should be noted there are different ways you can equivalise incomes. We use these equivalised incomes to order households and create the quintiles.</t>
  </si>
  <si>
    <t>https://www.health.govt.nz/publications/annual-update-of-key-results-202425-new-zealand-health-survey</t>
  </si>
  <si>
    <t>Wealth and income have a greater impact on wellbeing than age</t>
  </si>
  <si>
    <t>Ofcourse age changes - my thesis looks only at a snapshot but year, and people might be willing to take some losses now to enjoy a lack of means testing in retirement</t>
  </si>
  <si>
    <t xml:space="preserve">HYEFU 2020 New Zealand Superannuation Fund (NZSF) Track – Contribution Scenarios
</t>
  </si>
  <si>
    <t>https://www.treasury.govt.nz/publications/new-zealand-superannuation-fund-contribution-rate-model-hyefu-2020</t>
  </si>
  <si>
    <t>0.696 billion projected withdrawl from the fund in 2040/2041 financial year</t>
  </si>
  <si>
    <t>5.92258798280081 billion withdrawal from the fund in 2059/2060 financial year</t>
  </si>
  <si>
    <t>Golden Years - Understanding the New Zealand Superannuation Fund</t>
  </si>
  <si>
    <t>The Treasury Working Paper</t>
  </si>
  <si>
    <t>https://www.treasury.govt.nz/publications/wp/wp-21-01#some-history-of-the-nzsf</t>
  </si>
  <si>
    <t xml:space="preserve">Aim of Super fund to ensure we pay for new zealand superannuation while we can best afford to do it. Original old age pensionfrom 1898 included a test for  income, assets, and good character Aging of the population likely to continue for atleast a century </t>
  </si>
  <si>
    <t>"This means that a one-off rise in the age of eligibility for NZS, say to 66 or 67, will not flatten the aggregate net NZS to GDP projection. That is certainly not stated in order to discourage debate around such a policy option, but rather to simply point out that such a single change will not be sufficient to stop the rise of NZS to GDP"</t>
  </si>
  <si>
    <t xml:space="preserve">There is the potential that retirees will continue to be an active part of thee labour force for longer, although the impact of this is expected to be small. </t>
  </si>
  <si>
    <t>It's not just that NZS is growing, but that GDP growth is slowing/ per capita GDP decreasing?</t>
  </si>
  <si>
    <t>from 2100 onwards, the aggregate net NZS expense to GDP stabilises at 8.09 percent. - Figure from Treasury Budget 2020</t>
  </si>
  <si>
    <t>Estimating the Distribution of Wealth
in New Zealand</t>
  </si>
  <si>
    <t>the treasury</t>
  </si>
  <si>
    <t>https://www.treasury.govt.nz/sites/default/files/2023-04/twp23-01.pdf</t>
  </si>
  <si>
    <t>We vastly underestimate wealth in the top 10%</t>
  </si>
  <si>
    <t>https://assets.retirement.govt.nz/public/Uploads/Policy/TAAO-RC-Policy-Paper-What-else-do-people-have-beyond-KS-and-NZS_AW.pdf</t>
  </si>
  <si>
    <t>Poorest 50% of New Zealanders have neglible retirement wealth Retirement Commission anticipates a significant decrease in home ownership among retirees. The richest will double what they receive from NZS via their own savings The exclusion of the famil home from asset testing benefits Pākeha and wealthier New Zealanders</t>
  </si>
  <si>
    <t>https://assets.retirement.govt.nz/public/Uploads/Retirement-Income-Policy-Review/2025-RRIP/Review-of-Retirement-Income-Policies-2025_WEB.pdf</t>
  </si>
  <si>
    <t>Most of the recommendations are around kiwisaver- no real mention of means testing, just encourangement for cross-party commitment to a long term plan as a pre-requisit for making any changes</t>
  </si>
  <si>
    <t>https://www.aut.ac.nz/__data/assets/pdf_file/0006/654540/Working-paper-22_02.pdf</t>
  </si>
  <si>
    <t>Wealth inequality follows income inequality becausethe savings rate or the rich stays stable relative to the average savings rate for the whole population</t>
  </si>
  <si>
    <t>https://data-explorer.oecd.org/vis?tm=labour%20force%20participation%2065%2B&amp;pg=0&amp;snb=3&amp;df[ds]=dsDisseminateFinalDMZ&amp;df[id]=DSD_LFS%40DF_LFS_INDIC&amp;df[ag]=OECD.ELS.SAE&amp;df[vs]=1.1&amp;dq=AUS%2BAUT%2BBEL%2BCAN%2BCHL%2BCOL%2BCRI%2BCZE%2BDNK%2BEST%2BFIN%2BFRA%2BDEU%2BGRC%2BHUN%2BISL%2BIRL%2BISR%2BITA%2BJPN%2BKOR%2BLVA%2BLTU%2BLUX%2BMEX%2BNLD%2BNZL%2BNOR%2BPOL%2BPRT%2BSVK%2BSVN%2BESP%2BSWE%2BCHE%2BTUR%2BGBR%2BUSA%2BG7%2BEU27%2BEU19OECD%2BEU22OECD%2BOECD%2BOECD_REP%2BE%2BARG%2BBRA%2BBGR%2BHRV%2BCYP%2BIND%2BMLT%2BMKD%2BPER%2BROU%2BRUS%2BZAF.LF_RATE.PT_POP_SUB._T.Y_GE65.LF&amp;lom=LASTNPERIODS&amp;lo=5&amp;to[TIME_PERIOD]=false&amp;vw=tb</t>
  </si>
  <si>
    <t>OECD data on labour force participation 13.6% is the average for countries where this data is collected by the OECD in 2024. New Zealand's labour force participation was 25.4% - nearly double</t>
  </si>
  <si>
    <t>https://www.econstor.eu/handle/10419/205574</t>
  </si>
  <si>
    <t>High labour force participation rate has been linked to high eligibility age</t>
  </si>
  <si>
    <t>https://www.oecd.org/en/publications/2025/07/oecd-employment-outlook-2025_5345f034/full-report/navigating-the-golden-years-making-the-labour-market-work-for-older-workers_2bc681ed.html</t>
  </si>
  <si>
    <t>Encouraging older workers to stay in the labour market requires an educated population and job flexibility, among other changes - it is not a case of mere incentives, and facilitation may be a more important measure</t>
  </si>
  <si>
    <t>https://www.treasury.govt.nz/sites/default/files/2018-12/twp04-22.pdf</t>
  </si>
  <si>
    <t>Higher replacement rate from the pension disincentivies saving as less saving is required to maintain a pre-retirement quality of life</t>
  </si>
  <si>
    <t>Gender Identity, Coworking Spouses, and Relative Income within Households</t>
  </si>
  <si>
    <t>Natalia Zinovyeva, Maryna Tverdostup</t>
  </si>
  <si>
    <t>https://www.jstor.org/stable/27087129?sid=primo&amp;seq=1</t>
  </si>
  <si>
    <t>Women tend to earn less than their partners</t>
  </si>
  <si>
    <t>https://onlinelibrary.wiley.com/doi/full/10.1111/sjoe.12477</t>
  </si>
  <si>
    <t>Wife's share of earnings is about 40% in sweeden</t>
  </si>
  <si>
    <t>https://onlinelibrary.wiley.com/doi/full/10.1111/caje.12554</t>
  </si>
  <si>
    <t>Trend supported by gendeer norms. Found in Finland, Sweeden, US and Canada so unable to be attributed to child rearing</t>
  </si>
  <si>
    <t>https://www.taxpolicy.ird.govt.nz/-/media/project/ir/tp/publications/2008/2008-dd-income-splitting/2008-dd-income-splitting-pdf.pdf</t>
  </si>
  <si>
    <t>IRD report investigating tax-splitting</t>
  </si>
  <si>
    <t>https://static1.squarespace.com/static/60189fe639b6d67b861cf5c4/t/622a7f22a6428d7d6b6df258/1646952232546/relationship+status+and+the+welfare+system.pdf</t>
  </si>
  <si>
    <t>Report by Susan St John claiming relationship laws are out of date and harmful</t>
  </si>
  <si>
    <t>https://www.ird.govt.nz/about-us/tax-statistics/revenue-refunds/wage-salary-distributions/wage-and-salary-statistics-datasets</t>
  </si>
  <si>
    <t xml:space="preserve">WAGE AND SALARY INCOME BANDS UP TO 1 MIllion, small bands, good information, but leaves out all other sources of income and doesn't seperate by age. </t>
  </si>
  <si>
    <t>https://www.bath.ac.uk/publications/the-fiscal-and-distributional-implications-of-alternative-universal-basic-income-schemes-in-the-uk/attachments/ipr-fiscal-distributional-implications-alternative-universal-basic-income-schemes-uk.pdf</t>
  </si>
  <si>
    <t>UBI for workng age either unaffordable or not generous enough</t>
  </si>
  <si>
    <t>https://www.aei.org/articles/means-testing-and-its-limits/</t>
  </si>
  <si>
    <t>little eempirical evidence that targetted programmes face more erosion. Means testing leads to evasion, which leads to administration burden. Means testing leads people to work up to a threshold and then stop possible to means test based on lifetime earnings - this would incentivise saving, but at the cost of basing benefit of means peoplee may not have retirees very respnsive to marginal tax rates - this article hass some figures on that</t>
  </si>
  <si>
    <t>https://www.wgtn.ac.nz/__data/assets/pdf_file/0007/1935430/WP-21-10-wealth-inequality-in-New-Zealand.pdf</t>
  </si>
  <si>
    <t>further evidence company ownership largely concentrated in wealthiest decile</t>
  </si>
  <si>
    <t>https://berl.co.nz/our-mahi/inequality-and-new-zealand</t>
  </si>
  <si>
    <t>Support of prioritarian idea that inequality matters more than just inquality of income Well tested international evidence shows that beyond a certain point increasing national growth as measured by GDP does not improve the quality of life in a society, but greater equality does.</t>
  </si>
  <si>
    <t>https://www.peoplespolicyproject.org/2022/11/11/universal-benefits-cost-less-than-means-tested-benefits/</t>
  </si>
  <si>
    <t xml:space="preserve">Means testing is actually just a progressive tax and it may be administratively cheaper to administer it as one. I should write that. Or reshape my thesis around that. But it would effectively be a tax on the old - very interesting. </t>
  </si>
  <si>
    <t xml:space="preserve">Discussion with Robert - because prioritariansim essentially applied the marginal utility of income a second time, it is saying that inequality matters more than the mariginal utility of iincome suggests - which is to say more than even the people involved would 'say' that it does in a certain sense. </t>
  </si>
  <si>
    <t>https://www.rsfjournal.org/content/9/5/1</t>
  </si>
  <si>
    <t>This article talks about  the administration cost to the service user (psychological e.t.c) and how this contributes to inequality, and can be used to justify a higher means testing cost</t>
  </si>
  <si>
    <t>https://www.taxpolicy.ird.govt.nz/-/media/project/ir/tp/publications/2025/ir-budget-2025.pdf?modified=20250908051341</t>
  </si>
  <si>
    <t xml:space="preserve">We estimate the administrative impacts of means testing the GVC as extra-large. Extra-large is defined in appendix 2 and 5 million dollars. This is for working age - so likely smaller for super annuates. </t>
  </si>
  <si>
    <t>https://www.treasury.govt.nz/sites/default/files/2018-07/oia-20180164.pdf</t>
  </si>
  <si>
    <t>UBI would be administratively cheap</t>
  </si>
  <si>
    <t>We already have some non means tested services - schools, health care. Means testing incentives likely to have greater impact on the work choices of retirees han in the working age population</t>
  </si>
  <si>
    <t>The Universal
Basic Income
should it replace the existing social
security system?</t>
  </si>
  <si>
    <t>Robert Stephens</t>
  </si>
  <si>
    <t>Published in the policy quarterly</t>
  </si>
  <si>
    <t>The work disincentives associated with a UBI is not because everyong has what they need to live - it's becaue the tax rate needed to pay for it would be high enough to make working an extra hour feel not work it, This article also talks about the administrative cost, the compliance cost, and the negative stigma e.t.c associated with means testing/ having conditions such as work obligations It's invasive. "The current social security system is the antithesis of human dignity" pg33. And means testing provides strong disincentives for beneficiaries to enter the work force due to very high marginal tax rates</t>
  </si>
  <si>
    <t>https://www.intereconomics.eu/contents/year/2017/number/2/article/on-the-economics-of-a-universal-basic-income.html</t>
  </si>
  <si>
    <t>The UBI replaces the activating, controlling and thus paternalistic social policy of indirect aid with unconditional direct cash payments Active public labour policies would become superfluous, which would save administrative costs.
Direct aid is more economically sensible and socially just than indirect actions, which are always associated with leakage in the form of bureaucracy and false incentives. Indirect interventions in the labour, education, health, insurance or housing markets are comparatively more expensive, imprecise and unjust.</t>
  </si>
  <si>
    <t>https://pmc.ncbi.nlm.nih.gov/articles/PMC8036241/</t>
  </si>
  <si>
    <t>health benefit positive externalities from a UBI</t>
  </si>
  <si>
    <t>Wewlfaare advisory group report</t>
  </si>
  <si>
    <t>https://www.msd.govt.nz/about-msd-and-our-work/publications-resources/research/weag/index.html</t>
  </si>
  <si>
    <t>utlines the negative impacts of being in a relationship while receiving financial assistance</t>
  </si>
  <si>
    <t>New Zealand index of socioeconomic deprivation, sources of personal income, ethnicity, age, and gender for the census usually resident population count aged 15 years and over, (RC, TALB, Health), 2023 Census</t>
  </si>
  <si>
    <t>StatNZ</t>
  </si>
  <si>
    <t>https://explore.data.stats.govt.nz/vis?fs[0]=2023%20Census%2C0%7CIncome%23CAT_INCOME%23&amp;pg=20&amp;fc=Access%20to%20basic%20amenities&amp;bp=true&amp;snb=75&amp;df[ds]=ds-nsiws-disseminate&amp;df[id]=CEN23_DEP_010&amp;df[ag]=STATSNZ&amp;df[vs]=1.0&amp;dq=2023.9999%2B99999%2B999999.999..999..99&amp;to[TIME]=false</t>
  </si>
  <si>
    <t xml:space="preserve">145, 941pensions earn wages or salary. 90,210 have self-employment earnings. 288, 318 have earnings from interest. </t>
  </si>
  <si>
    <t>The marginal utility of income</t>
  </si>
  <si>
    <t>R. Layard a, G. Mayraz b, S. Nickell c</t>
  </si>
  <si>
    <t>Journal of public economics</t>
  </si>
  <si>
    <t>https://www.sciencedirect.com/science/article/pii/S0047272708000248</t>
  </si>
  <si>
    <t>Figure for the marginal utility of income</t>
  </si>
  <si>
    <t>StatsNZ</t>
  </si>
  <si>
    <t>https://www.stats.govt.nz/news/annual-inflation-at-2-7-percent-in-june-2025/</t>
  </si>
  <si>
    <t>Inflation data</t>
  </si>
  <si>
    <t>Earnings bunching at benefit abatement thresholds</t>
  </si>
  <si>
    <t>Motu</t>
  </si>
  <si>
    <t>https://motu-www.motu.org.nz/wpapers/23_05.pdf#:~:text=We%20assess%20the%20contributions%20of%20the%20abatement,accounting%20for%2087%25%20($52)%20of%20the%20increase.</t>
  </si>
  <si>
    <t>10-16% of job seekers report employment related earnings 18-23% of sole parents have some kind of employment people work more at higher abatement thresholds put the cut off point</t>
  </si>
  <si>
    <t>Cost-benefit analysis and non-utilitarian ethics</t>
  </si>
  <si>
    <t>Rosemary Lowry and Martin Peterson</t>
  </si>
  <si>
    <t>https://doi.org/10.1177/1470594X11416767</t>
  </si>
  <si>
    <t>https://www.stats.govt.nz/news/income-growth-for-wage-and-salary-earners-remains-strong/</t>
  </si>
  <si>
    <t>Median wage average increases</t>
  </si>
  <si>
    <t>The welfare effects of asset mean-testing income support</t>
  </si>
  <si>
    <t>Felix Wellschmied, 2021</t>
  </si>
  <si>
    <t>Department of Economics, Universidad Carlos III de Madrid and IZA</t>
  </si>
  <si>
    <t>In the Journal of Quantatiive economics</t>
  </si>
  <si>
    <t>Finds no assets test or a very high asset limit is best</t>
  </si>
  <si>
    <t>Statistics about current NZS recipeints</t>
  </si>
  <si>
    <t>https://www.msd.govt.nz/about-msd-and-our-work/publications-resources/statistics/benefit/index.html</t>
  </si>
  <si>
    <t>Crown vs Ruka</t>
  </si>
  <si>
    <t>https://nzlii.org/nz/journals/VUWLawRw/2001/48.html</t>
  </si>
  <si>
    <t>Details about the history of basing entitlement on being a couple</t>
  </si>
  <si>
    <t>Figure NZ</t>
  </si>
  <si>
    <t>https://figure.nz/chart/baZXhAYoxhIPfUNn</t>
  </si>
  <si>
    <t>Information on rates of marriage (does not include information on defacto partnerships)</t>
  </si>
  <si>
    <t>https://assets.retirement.govt.nz/public/Uploads/Older-Peoples-Voices-2024-Income-expenditure-and-decumulation_AW-2.pdf</t>
  </si>
  <si>
    <t>Good income and asset information for retirees</t>
  </si>
  <si>
    <t>https://www.oecd.org/content/dam/oecd/en/publications/reports/2024/10/pensions-at-a-glance-2023-country-notes_2e11a061/iceland_94fa7700/71cbafb9-en.pdf</t>
  </si>
  <si>
    <t>Details about Iceland's pension system</t>
  </si>
  <si>
    <t>StasNZ</t>
  </si>
  <si>
    <t>https://www.stats.govt.nz/experimental/national-accounts-income-saving-assets-and-liabilities-march-2025-quarter/</t>
  </si>
  <si>
    <t>Population level net worth and savings as proportion of income information</t>
  </si>
  <si>
    <t>Average Kiwisaver balance by Age</t>
  </si>
  <si>
    <t>Money Hub</t>
  </si>
  <si>
    <t>https://www.moneyhub.co.nz/average-kiwisaver-balance-by-age.html</t>
  </si>
  <si>
    <t>Household and individual net worth averages</t>
  </si>
  <si>
    <t>https://www.moneyhub.co.nz/average-new-zealand-net-worth-by-age.html</t>
  </si>
  <si>
    <t>https://www.moneyhub.co.nz/average-nz-salary-by-ag</t>
  </si>
  <si>
    <t>The Treasury, 2021</t>
  </si>
  <si>
    <t>Long term fiscal position breifing</t>
  </si>
  <si>
    <t>The Treasury</t>
  </si>
  <si>
    <t>https://www.treasury.govt.nz/sites/default/files/2021-09/ltfs-2021_2.pdf</t>
  </si>
  <si>
    <t>Māori have higher fertility and lower life span - so pay as you go means young Māori are paying for old Pakeha. Migration expected to have low impact on age demongraphics in the long run. Runs models on changing age of eligibility to 67 and changing indexing to align with inflation rather than real wages</t>
  </si>
  <si>
    <t>Our projections indicate that the gap between expenditure
and revenue will grow significantly as a result of
demographic change and historical trends, in the absence
of any offsetting action by governments. This will cause net
debt to increase rapidly as a share of GDP by 2060. The most significant spending pressures
come from a combination of healthcare and
NZ Superannuation, which we project will
increase by 6.4% of GDP from 2021 to 2061. The key difference in these scenarios is that the projections
suggest that the long-run level of GDP relative to trend
would be higher by around one to two percentage points
than in the increased tax rates scenario by 2061. That
reflects the fact that tax rates – and therefore disincentives
to work or invest – would not need to rise as much. if higher
labour productivity causes wages to rise, that will
automatically increase the rate and expenditure of NZS.
Second, there is an informal link between public services
and wage costs. Over time, public sector wages tend to
move with private sector wages because workers are mobile
between the two sectors. Third, historical experience shows
that demand for public services such as healthcare tends to
increase as incomes increase., increased labour supply
does not flow through to higher wages and consequently
government expenditure growth New Zealand spends less as a share of GDP than most
OECD countries on public pensions. This is partly because
New Zealand’s age structure is younger relative to most
other OECD countries, but also because NZS aims to
provide a basic income, rather than aiming to replace (or
smooth) pre-retirement incomes. In addition, many OECD
countries make greater use of fiscal incentives to
encourage private saving for retirement.</t>
  </si>
  <si>
    <t>While income- and asset-testing is used in some
overseas jurisdictions, the Treasury has not recently
supported means-testing for NZS as it is administratively
complex, invites avoidance behaviours and is seen as
violating many people’s ideas of fairness. Means-testing
creates strong disincentives to work and save and strong
avoidance incentives</t>
  </si>
  <si>
    <t>Stable bases and flexible rates: New
Zealand’s tax system – a summary</t>
  </si>
  <si>
    <t>IRD</t>
  </si>
  <si>
    <t>https://www.taxpolicy.ird.govt.nz/consultation/2025/ir-ltib</t>
  </si>
  <si>
    <t xml:space="preserve">Tax bases will be income and consumption. Dual income tax which would include taxing capital gains and changing the ways companiies are taxed to curtail tax evasion without disincentivisinig foreign investment. GST offset scheme used to protect low income households from GST increases. </t>
  </si>
  <si>
    <t xml:space="preserve"> In its last Long-term Fiscal
Statement, the Treasury predicted that government expenditure will exceed government
revenue by 13.3% of GDP by 2061 if the Government takes no response to rising fiscal
pressures.</t>
  </si>
  <si>
    <t>NZS deskfile rates</t>
  </si>
  <si>
    <t>https://www.workandincome.govt.nz/map/deskfile/nz-superannuation-and-veterans-pension-tables/new-zealand-superannuation-and-veterans-pension-ra.html</t>
  </si>
  <si>
    <t>Asset tests for age pension in Australia</t>
  </si>
  <si>
    <t>https://www.servicesaustralia.gov.au/assets-test-for-age-pension?context=22526</t>
  </si>
  <si>
    <t>Retirement comission, 2024</t>
  </si>
  <si>
    <t>NZ SUPER
ISSUES AND OPTIONS</t>
  </si>
  <si>
    <t>The retirement comission</t>
  </si>
  <si>
    <t>https://assets.retirement.govt.nz/public/Uploads/Policy/TAAO-RRIP-NZ-Super-issues-paper.pdf</t>
  </si>
  <si>
    <t>The paper concludes:
• NZ Super is the Government’s primary contribution to financial security for a person’s later life and
ensures an adequate standard of living for older New Zealanders.
• The system needs to be fair, stable and affordable.
• NZ Super is the eighth least expensive pension in the OECD, as a proportion of GDP.
• NZ expenditure would continue to be well below the OECD average in 40 years without any change
to the age of eligibility.
• The current age of eligibility for NZ Super is not low relative to other OECD countries: 70% currently
have a pension age of 65 or below, reducing to 53% by the 2060s.
• Discussion around changes to NZ Super needs to consider a wide range of data to inform decisions.
• Any change to the age of eligibility would disproportionately disadvantage manual workers, carers
and those they care for, and those with poor health, due to differences in savings and wealth and
ability to remain in paid work after the age of 65. Women, Māori, and Pacific Peoples are
overrepresented in those groups.
• Extra benefits to support people through to a later age of eligibility would reduce fiscal savings from
raising the age.
• Introducing income-testing would be fairer than raising the age of eligibility.
• Political support for a stable long-term system is crucial.</t>
  </si>
  <si>
    <t>How will home ownership impact financial positions in retirement. Instead of comparing different income groups, compare women, Maori, and people with health conditions, as well as low income earners. let people choose to take NZS early, but at a reduced rate. This source is focused on raising the age to 67 and alternatives to this option. Discusses means testing, and getting peoples estates to repay NZS paid</t>
  </si>
  <si>
    <t>A comprehensive review of
KiwiSaver settings has not been undertaken for some time and it is important that impacts and
improvements for KiwiSaver are considered alongside any change to NZ Super given their
complementary nature within the retirement income system.  The MSD appropriation to
administer NZ Super (including international social security entitlements and agreements) is $69m for
FY23/24 (Treasury, 2023). Against an expenditure of $21.6bn in the same year, that is a percentage cost
of just 0.003%. 40% of people aged 66 and over rely
on NZ Super There are provisions within Schedule 1 of the KiwiSaver legislation that enable pre-65 access for people
who have a serious illness or a life-shortening congenital condition (PCO,b) and early access is a feature
of similar schemes in other countries.
This option introduces design and administration complexity for MSD and removes the element of
universality from NZ Super. There are also social contract risks associated with treating people differently. NZ Super does not provide a labour market disincentive and this is evident in the numbers of over 65s
still in paid work. The extent to which introducing an income-test for NZ Super would impact labour
market supply would depend on the level of potential earnings compared to the payment rate of NZ
Super and the level at which the income test was set. Given the starting point for the calculation of the
NZ Super payment rate is 66% (for couples) of the average ordinary time weekly earnings for full-time
equivalent (TAAO, 2021b), undertaking full-time work, or part-time work at above average earnings, is
likely to provide greater income than NZ Super. Whether a person would be eligible to apply for NZ
Super while in paid work would depend on the level at which the income test was set and the level of
their earnings (and any other income). This option was proposed in a submission to the 2022 Review of Retirement Income Policies (Jenness,
2022). Under this option, the net amount of NZ Super payments would accrue as a loan, to be repaid
from the estate of individuals whose wealth was above a specified threshold (greater than median net
worth). There are compliance costs for families to be considered under this option but it ensures that
people can still receive the pension during their lifetime and maintains NZ Super as universal. It also has
the ability to impact (limit) the intergenerational transfer of wealth, by returning some capital to the
Crown, rather than to family members.
A key decision would be the threshold at which repayment was required. The higher the threshold, the
fewer people who would be required to repay their NZ Super, and the less money would be saved by
the Government. The reverse would also be true, the lower the threshold, the more people who would
be required to repay. If the limit was considered ‘too low’ it would strain the social contract. This option
would be likely to attract significant public discussion.</t>
  </si>
  <si>
    <t>The Decent society? : essays in response to National's economic and social policies</t>
  </si>
  <si>
    <t>Boston, Jonathan, 1957-; Dalziel, Paul.; 1992</t>
  </si>
  <si>
    <t xml:space="preserve">Jo lent this book to me. I've saved photos on my phone. Summary is of the first chapter. </t>
  </si>
  <si>
    <t xml:space="preserve">There are three types of welfare system: means tested, contribution based, and rights based. Means testing tends to shift the emphasis for supporting oneself onto individuals and nuclear families. Rights based welfare systems can be expensive. Contribution based systems have no redistributory properties. </t>
  </si>
  <si>
    <t>NZIER, 2024</t>
  </si>
  <si>
    <t>Who does it better - comparing Australia and New Zealand Pension systems</t>
  </si>
  <si>
    <t>https://www.nzier.org.nz/hubfs/Lessons%20from%20the%20Australian%20retirement%20income%20system%20NZIER%20WP%202024-01.pdf</t>
  </si>
  <si>
    <t xml:space="preserve">In NZIER’s report, the schemes of both countries were evaluated against five criteria, with key findings as follows: Adequacy: New Zealand’s system appears to provide higher incomes relative to the working-age population on average. Equity: While New Zealand’s system reduces income inequality in retirement, Australia’s system perpetuates inequalities from working years. Sustainability: Government spending on the system is expected to increase over time in New Zealand but remain constant in Australia. Impact on savings and investment: Australia’s system has a larger effect on savings due to compulsory contributions and higher rates. Impact on labour and wages: Australia’s system discourages working at pension age, resulting in lower labour force participation. </t>
  </si>
  <si>
    <t>Compulsory savings rejected in 1997 referendum. Mandatory contributions are from employers, not employees, in Australia. Compulsory savings may be unfair to poorer households, if richer households are all ready saving and just reduce saving in other areas when retirement savings are made mandatory, therefore not feeling any pinch. (but that's not what I've observed). The effective age of retirement is higher in New Zealand because austrailians can access their pension funds at age 60. Tax concessions cost the Australian govrnment a enough that they reduce the governments savings from the save as you go system. Good reference list at the end.</t>
  </si>
  <si>
    <t>NZ Super is taxed as income, so
those with other sources of income may receive less after-tax superannuation due to being
in a higher tax bracket. Australia’s greater reliance on private savings perpetuates inequalities from working
years. The universal coverage of NZ Super enables New Zealand’s system to deliver
more equitable outcomes.
• The simpler design of New Zealand’s system helps prevent perverse consequences.
Australia’s tax concessions for savings make the system less equitable and more
expensive. The Age Pension means test also discourages older people from working. Figure 12 presents projected government pension spending as a share of GDP. Spending on
NZ Super relative to the size of the economy is much larger than spending on the Australian
Age Pension due to its universal coverage. After accounting for tax, spending on NZ Super is
expected to rise over time from 4.1% of GDP in 2020 to 5.5% in 2050 as the population
ages. Spending on the Age Pension is expected to decline from 2.5% of GDP to 2.1% in 2050
as growing superannuation balances mean fewer people will qualify.
Another important government cost is revenue lost to Superannuation tax concessions or
KiwiSaver subsidies. In Australia, lost revenue from tax concessions is expected to rise from
around 2.0% of GDP in 2020 to around 2.5% in 2050, exceeding the cost of Age Pension
expenditure. Tax concessions reduce Age Pension expenditure by contributing to higher
superannuation balances; however, the cost of tax concessions outweighs these benefits.
As noted previously, tax concessions increase inequality as they provide greater benefits to
people with higher incomes. In New Zealand, KiwiSaver subsidies currently account for just
0.3% of GDP(pg12)The Australian government recently announced that it will pay superannuation for those on
paid parental leave from July 2025 (Australian Department of the Prime Minister and
Cabinet 2024), which could address part of the gender pay gap. If people make KiwiSaver contributions while they are on paid parental leave, the
government will also make employer contributions of 3%.However, financially constrained households are less likely to be able to offset
savings, and households’ decisions may be influenced by behavioural biases or nudges The relationship between savings and investment is more complex in small economies like Australia and New
Zealand, where capital can flow freely across borders. In these cases, an increase in savings rates may not
directly translate into an increase in domestic investment. Ins Despite lower savings rates, New Zealand has more overall investment than Australia, at
26% of GDP compared to 24% (International Monetary Fund 2024). This discrepancy is
likely tied to New Zealand’s smaller size and greater reliance on foreign investment.tead, savings could be invested abroad, or
domestic investment could be funded by foreign capital. Traditionally, economists have considered compulsory employer contributions to be like a payroll tax, which
means that economic incidence primarily falls on the group that is least responsive to price changes. If labour
demand is relatively elastic compared to supply – meaning employers are more willing to adjust hiring levels
in response to changing wages than workers are to change the amount they work – then the cost will be
borne disproportionately by workers.
Summers (1989) shows that, in the long run, if workers value employer contributions to their retirement
savings accounts, then they will be willing to accept lower wages in exchange. This means that the entire cost
of the mandated benefit will be shifted to workers through lower wage growth, regardless of the relative
elasticities of labour supply and demand. Evidence from the Australian Superannuation Guarantee shows that mandatory employer
contributions lead to lower wages. Studies find that around 80% of the increase in the
Superannuation Guarantee is passed on to workers through lower wage growth (Coates,
Cowgill, and Mackey 2020; Breunig and Sobeck 2020).
16Modelling indicates that setting employee and employer contribution rates to 4% would
enable median income earners to achieve a 70% replacement rate for 20 to 30 years
(Retirement Commission 2024).</t>
  </si>
  <si>
    <t>Forced savings + asset based means test = more equality? What if the employer contribution was a percentage of the median wage for NZ, rather than the employee's income? I suppose small businesses paying minimum wage wouldn't be able to afford it.</t>
  </si>
  <si>
    <t>Individualising entitlements in New Zealand’s
benefit and social assistance systems</t>
  </si>
  <si>
    <t>Michael Fletcher</t>
  </si>
  <si>
    <t>https://nzpri.aut.ac.nz/__data/assets/pdf_file/0006/181437/Individualising-entitlements-in-New-Zealands-benefit-and-social-assistance-systems.pdf</t>
  </si>
  <si>
    <t xml:space="preserve">Investigates the costs of individualising working age benefits and different approaches to doing this. Outlines the issue of couple-based assistance. </t>
  </si>
  <si>
    <t>The Treasury, 2017a</t>
  </si>
  <si>
    <t>The Treasury
New Zealand Superannuation Information Release</t>
  </si>
  <si>
    <t xml:space="preserve">Changing the indexation of NZS payments would drive up
poverty levels of the recipients of NZS relative to other
groups in society While income- and asset-testing is used in some
overseas jurisdictions, the Treasury has not recently
supported means-testing for NZS as it is administratively
complex, invites avoidance behaviours and is seen as
violating many people’s ideas of fairness. Means-testing
creates strong disincentives to work and save and strong
avoidance incentives </t>
  </si>
  <si>
    <t>The Treasury, 2017 c</t>
  </si>
  <si>
    <t>New Zealand Superannuation Information Release</t>
  </si>
  <si>
    <t>https://www.treasury.govt.nz/sites/default/files/2017-03/sup-3753700.pdf</t>
  </si>
  <si>
    <t>Tying the age of eligibility to life expectancy beyond the age of 67 would help to
further offset the fiscal costs associated with NZ Superannuation (NZS) The core long-standing design features of NZS (universal, flat-rate, tax-funded, ageand residency-tested) suggest the well-established intention is to provide a “citizenship
dividend” to older New Zealand long-term resident citizens and permanent residents Despite the absence of a mandatory private saving scheme, the best evidence we have
suggests most New Zealanders are saving adequately for their retirement. NZS supports high rates of labour force participation by older people because NZS
income is not subject to means-testing or contingent on retirement from employment. ... because the flat-rate NZS entitlement replaces a smaller proportion of their preretirement income, so they must save more voluntarily to maintain their standard of
living in retirement Rapid, ad hoc
adjustments in response
to the projected NZS
spending path may have
significant welfare
implications. Reform
requires long lead times,
since people need time to
adjust and adapt. The extra cost if there was 100% take-up is estimated to be up to $1 billion. This over
estimates because of those already receiving emergency benefit or not qualifying by years
of residency</t>
  </si>
  <si>
    <t>Nation Goverment 2025 budget</t>
  </si>
  <si>
    <t>https://www.treasury.govt.nz/sites/default/files/2025-05/b25-at-a-glance.pdf</t>
  </si>
  <si>
    <t>minimum kiwisaver contribution rising to 4%</t>
  </si>
  <si>
    <t>Grey power</t>
  </si>
  <si>
    <t>https://www.greypower.co.nz/maintaining-nz-super-benefits</t>
  </si>
  <si>
    <t>strong cases against any changes to NZS policy + discussion of interaction effects with ASUP and hjome ownreship versus renting</t>
  </si>
  <si>
    <t>Relevant - but not academic</t>
  </si>
  <si>
    <t>RNZ</t>
  </si>
  <si>
    <t>https://www.rnz.co.nz/news/national/544002/researcher-outlines-plan-for-higher-tax-on-well-off-pensioners</t>
  </si>
  <si>
    <t>Susan St Job has proposed a high flat tax on pensioners earning other income</t>
  </si>
  <si>
    <t>https://www.rnz.co.nz/news/business/541778/prominent-economists-call-for-superannuation-overhaul</t>
  </si>
  <si>
    <t>pay NZS to kids kiwisavers instead Spending more on NZS than on education</t>
  </si>
  <si>
    <t>https://www.rnz.co.nz/news/business/542295/sir-ian-taylor-asks-do-you-really-need-your-pension</t>
  </si>
  <si>
    <t>eople are donating their NZS towards addressing child poverty</t>
  </si>
  <si>
    <t>https://www.rnz.co.nz/news/national/565049/thousands-of-over-65s-earn-more-than-200-000-should-they-get-nz-super</t>
  </si>
  <si>
    <t>Means testing NZS would save $9B per year. High earners on pension pay secondary tax which could be considered a form of income testing</t>
  </si>
  <si>
    <t>Report on the relationship rules</t>
  </si>
  <si>
    <t>https://thespinoff.co.nz/pop-culture/17-11-2025/new-to-streaming-what-to-watch-on-netflix-nz-neon-and-more-this-week-123</t>
  </si>
  <si>
    <t>https://www.1news.co.nz/2024/02/14/love-and-loss-how-relationships-can-impact-peoples-benefits/</t>
  </si>
  <si>
    <t>https://capsulenz.com/think/benefit-nz/</t>
  </si>
  <si>
    <t>https://www.stuff.co.nz/business/122254002/in-a-relationship-almost-half-of-nzers-think-you-should-get-benefit-anyway</t>
  </si>
  <si>
    <t>https://www.stuff.co.nz/business/300001967/breadwinner-asks-why-cant-i-access-government-support?rm=a</t>
  </si>
  <si>
    <t>https://thespinoff.co.nz/politics/17-11-2025/perpetually-broke-how-new-zealand-could-eventually-afford-its-future</t>
  </si>
  <si>
    <t>What the Sensible Adults don’t tell you about the cost of super</t>
  </si>
  <si>
    <t>https://www.thepost.co.nz/nz-news/360738318/what-sensible-adults-dont-tell-you-about-cost-super</t>
  </si>
  <si>
    <t>Argues that a wealth test is more feasible than means testing and that super is ultimately affordable, with stats on it being a relatively small fraction of NZ GDP</t>
  </si>
  <si>
    <t>Economist Bill Rosenberg runs the ruler over NZ Super cost predictions, and argues it's not as scary as we've been told; Calls for a proper debate on population policy</t>
  </si>
  <si>
    <t>Bill Rosenburg</t>
  </si>
  <si>
    <t>https://www.interest.co.nz/opinion/86837/economist-bill-rosenberg-runs-ruler-over-nz-super-cost-predictions-and-argues-its-not</t>
  </si>
  <si>
    <t>The Cullen fund and taxes paid by super annuates means that super prices will be affordable (note treasury told me Cullen fund wasn't going to be contributing as much as soon as previously hoped)</t>
  </si>
  <si>
    <t>Why we should take $3b off top end of Super</t>
  </si>
  <si>
    <t>https://newsroom.co.nz/2025/08/05/raising-pension-to-67-a-very-blunt-tool-to-address-unfairness/</t>
  </si>
  <si>
    <t>Means testing super is inevitable</t>
  </si>
  <si>
    <t>Cameron Bagrie</t>
  </si>
  <si>
    <t>https://businessdesk.co.nz/article/opinion/means-testing-super-is-inevitable</t>
  </si>
  <si>
    <t>Budget 2025: High earners can't get KiwiSaver credit - but they can get the pension</t>
  </si>
  <si>
    <t>https://www.rnz.co.nz/news/budget-2025/561918/budget-2025-high-earners-can-t-get-kiwisaver-credit-but-they-can-get-the-pension</t>
  </si>
  <si>
    <t xml:space="preserve">Means testing NZS is controversial. We will ether have to means test or pay more taxes. </t>
  </si>
  <si>
    <t>https://retirement.govt.nz/news/latest-news/nz-super-is-a-taonga-not-a-burden-retirement-commissioner-seeks-political-accord</t>
  </si>
  <si>
    <t>Public veiws on NZS options</t>
  </si>
  <si>
    <t>Green's Budget</t>
  </si>
  <si>
    <t>Green Party</t>
  </si>
  <si>
    <t>Mentions during Tax on Tuesdays Lecture, found on google</t>
  </si>
  <si>
    <t>https://assets.nationbuilder.com/beachheroes/pages/39988/attachments/original/1749098273/Budget_ONLINE.pdf?1749098273</t>
  </si>
  <si>
    <t>Proposes wealth tax to increase public revenue, doesn't address NZS</t>
  </si>
  <si>
    <t xml:space="preserve">Tax individual net wealth over $2 million at a rate of 2.5%; with a 1.5% tax on assets in private
trusts to prevent avoidance together with a 33% Wealth Transfer Tax on financial gifts exceeding
$1,000,000
Introduce a tax-free threshold up to $10,000, boosting the incomes of everyone earning under
$115,000
Introduce new rates of income tax of 39% on income over $120,000 and 45% on income over
$180,000
Raise the companies tax rate to 33%, ensuring large corporations are taxed fairly
Cancel National’s tax cuts for landlords by reversing interest deductibility and restoring the
Bright-Line Test to 10 years
32
Introduce a private jet tax of $5,000 per passenger arriving and departing from Aotearoa via
private jet
Double the royalty rate for mining to ensure a fair return from corporates who exploit te taiao
for private profit </t>
  </si>
  <si>
    <t>Why means testing benefits is not efficient or fair</t>
  </si>
  <si>
    <t>Peter Beresford</t>
  </si>
  <si>
    <t>The Guardian</t>
  </si>
  <si>
    <t>https://www.theguardian.com/social-care-network/2013/jan/14/means-testing-benefits-not-efficient-fair</t>
  </si>
  <si>
    <t>Opinion piece - claims means testing benefits are lost to the greater administration costs. Claims means testing creates barriers for people to access services . Claims means testing hurts people near cut off points most of all. Means tested pensions are less well defended against cuts because they are only going to vulnerable people (which assumes people wont fight for issues that don't impact them personally)</t>
  </si>
  <si>
    <t xml:space="preserve">NZ’s means-testing creep </t>
  </si>
  <si>
    <t>by Sharon Brettkelly</t>
  </si>
  <si>
    <t>Newroom</t>
  </si>
  <si>
    <t>https://newsroom.co.nz/2025/06/09/nzs-means-testing-creep/</t>
  </si>
  <si>
    <t>Different opinions on means testing versus raising the age of eligibility</t>
  </si>
  <si>
    <t>Lowry &amp; Peterson, 2011</t>
  </si>
  <si>
    <t>How to incorporate deontological concerns into CBA</t>
  </si>
  <si>
    <t>Tangential</t>
  </si>
  <si>
    <t>https://papers.ssrn.com/sol3/papers.cfm?abstract_id=4222083</t>
  </si>
  <si>
    <t>Accommodation supplement doezn't increase rent</t>
  </si>
  <si>
    <t>https://assets.retirement.govt.nz/public/Uploads/Research/TAAO-Older-Peoples-Voices-Research.pdf</t>
  </si>
  <si>
    <t>Qualitative insights for people living on NZS - includes spenders versus savers</t>
  </si>
  <si>
    <t>https://www.treasury.govt.nz/sites/default/files/2023-04/an23-01.pdf</t>
  </si>
  <si>
    <t>The impact of an aging population on average household incomes</t>
  </si>
  <si>
    <t>The productivity slowdown: implications
for the Treasury’s forecasts and projections</t>
  </si>
  <si>
    <t>ttps://www.treasury.govt.nz/sites/default/files/2024-05/tp-productivity-slowdown-implications-treasurys-forecasts-projections.pdf</t>
  </si>
  <si>
    <t>Productivity is slowing down</t>
  </si>
  <si>
    <t>The Treasury, 2017b</t>
  </si>
  <si>
    <t>https://www.treasury.govt.nz/sites/default/files/2017-03/sup-3753736.pdf</t>
  </si>
  <si>
    <t>Outlines some initial considerations for a transition payment to cover the gap  for vulnerable people if age is moved to 67</t>
  </si>
  <si>
    <t>Long Term Insights Breifing</t>
  </si>
  <si>
    <t>https://www.treasury.govt.nz/sites/default/files/2025-08/te-ara-mokopuna-ltib-2025.pdf</t>
  </si>
  <si>
    <t xml:space="preserve">The decent society
</t>
  </si>
  <si>
    <t xml:space="preserve">Margalit, Avishai, 1939- </t>
  </si>
  <si>
    <t>his text outlines Avishai Margalit's social philosophy, based on the foundation that a decent or civilized society is one whose institutions do not humiliate the people under their authority, and whose citizens do not humiliate each other. This allows people to live together with dignity.
Contents
1. Humiliation -- 2. Rights -- 3. Honor -- 4. Justifying Respect -- 5. The Skeptical Solution -- 6. Being Beastly to Humans -- 7. The Paradox of Humiliation -- 8. Rejection -- 9. Citizenship -- 10. Culture -- 11. Snobbery -- 12. Privacy -- 13. Bureaucracy -- 14. The Welfare Society -- 15. Unemployment -- 16. Punishment.</t>
  </si>
  <si>
    <t>The Treasury's work on equality</t>
  </si>
  <si>
    <t>Chris Thompson</t>
  </si>
  <si>
    <t>Chris Thompson (Treasury) - First follow up email</t>
  </si>
  <si>
    <t>https://www.treasury.govt.nz/publications/ap/ap22-03</t>
  </si>
  <si>
    <t>Provides a summary of different kinds of distributive justice</t>
  </si>
  <si>
    <t>MacCulloch, 2019</t>
  </si>
  <si>
    <t>Mandatory Savings - The Saviour of New Zealand's Welfare State</t>
  </si>
  <si>
    <t>Robert MacCulloch</t>
  </si>
  <si>
    <t>https://researchspace.auckland.ac.nz/server/api/core/bitstreams/2112fc9a-725b-40f4-a1d2-293d6622d6e8/content</t>
  </si>
  <si>
    <t>Makes the case for mandatory private savings funds for health care and ACC, as an alternative to government funding (but with support from government contributions). Does not suggests means testing pension. Implies benefits from interest accumulation</t>
  </si>
  <si>
    <t>sar-indexing-main-benefits-to-inflation</t>
  </si>
  <si>
    <t>Ministry of social development</t>
  </si>
  <si>
    <t>https://msd.govt.nz/documents/about-msd-and-our-work/publications-resources/regulatory-impact-statements/sar-indexing-main-benefits-to-inflation.docx</t>
  </si>
  <si>
    <t>Discusses indexiing against wages versus indexing against CPI. Wages tend to grow more on average, although this isn't consistent. Wages might be thought of as a more relationsal - egalitarian whereas CPI is sufficientarian</t>
  </si>
  <si>
    <t>Still Kicking? The Royal Commission on Social Policy, 20 Years On</t>
  </si>
  <si>
    <t>https://www.msd.govt.nz/about-msd-and-our-work/publications-resources/journals-and-magazines/social-policy-journal/spj37/37-still-kicking-the-royal-commission-on-social-policy-20-years-on.html</t>
  </si>
  <si>
    <t>In the 1970s he royal comission on social policy advocated for paying a reduced rate of pension until age 68</t>
  </si>
  <si>
    <t>https://www.ceicdata.com/en/new-zealand/employment-and-unemployment-forecast-oecd-member-annual/nz-trend-employment-rate-age-1574?utm_source=chatgpt.com</t>
  </si>
  <si>
    <t>NZ employment rate data aged 15-74</t>
  </si>
  <si>
    <t>https://www.treasury.govt.nz/sites/default/files/2024-12/hyefu24.pdf</t>
  </si>
  <si>
    <t xml:space="preserve">Total tax revenue in the FY23/24 ($): 115400000000.00	NZS expenditure 23/24 financial year ($):21,574,000,000
	</t>
  </si>
  <si>
    <t>Not Relevant</t>
  </si>
  <si>
    <t xml:space="preserve">The costs of
administering a
wealth tax </t>
  </si>
  <si>
    <t>David Burgherr</t>
  </si>
  <si>
    <t>UK economic and social research</t>
  </si>
  <si>
    <t>https://www.wealthandpolicy.com/wp/BP126_AdministrationCosts.pdf</t>
  </si>
  <si>
    <t>I thought this would be useful for getting at the administrative costs of asset testing the pension but I think applying a tax is too different to applying a pension threshold</t>
  </si>
  <si>
    <t>National Party policies for the 1990s : creating a decent society.</t>
  </si>
  <si>
    <t>The National Party</t>
  </si>
  <si>
    <t>Microsimulation. A Tool for Economic Analysis</t>
  </si>
  <si>
    <t>Anders Klevmarken</t>
  </si>
  <si>
    <t>International microsimulation association</t>
  </si>
  <si>
    <t>https://microsimulation.pub/articles/00246</t>
  </si>
  <si>
    <t xml:space="preserve">Microsimulation uses computer programmes to map the complex impacts of potential changes to benefit or tax systems, but relys on good data which I will probably not be able to acquire, and is probably a bit beyond the scope of my thesis. This article does contain small insights into validated models in general which may be useful. </t>
  </si>
  <si>
    <t>Parameter</t>
  </si>
  <si>
    <t>FY 24/25 Value</t>
  </si>
  <si>
    <t>Notes</t>
  </si>
  <si>
    <t>Sources</t>
  </si>
  <si>
    <t>WorkingAgePopulation</t>
  </si>
  <si>
    <t>ages 15–64</t>
  </si>
  <si>
    <t>Population65Plus</t>
  </si>
  <si>
    <t>ages 65+</t>
  </si>
  <si>
    <t>EmploymentRate_WorkingAge</t>
  </si>
  <si>
    <t>fraction of 15–64 employed</t>
  </si>
  <si>
    <t>https://infoshare.stats.govt.nz/ViewTable.aspx?pxID=a16e84d4-00a9-41d6-8a4a-8bf771bd2d2d</t>
  </si>
  <si>
    <t>Labour Force Status for people aged 15 to 64 years (Annual-Mar) | Employment rate | 2025</t>
  </si>
  <si>
    <t>EmploymentRate_65Plus</t>
  </si>
  <si>
    <t>fraction of 65+ employed</t>
  </si>
  <si>
    <t>https://infoshare.stats.govt.nz/SelectVariables.aspx?pxID=a3faf5f4-e39a-4dbb-be8e-f81723992bcb</t>
  </si>
  <si>
    <t>Table: Labour Force Status by Sex by Age Group (Annual-Mar) | Total Both Sexes | Aged 65 years and over | Employment rate | 2025</t>
  </si>
  <si>
    <t>Employed 65+ population</t>
  </si>
  <si>
    <t>NZS_Annual single</t>
  </si>
  <si>
    <t>net annual NZS per person</t>
  </si>
  <si>
    <t>NZS_annual couple</t>
  </si>
  <si>
    <t>net annual NZS per person (half couple's rate)</t>
  </si>
  <si>
    <t>UtilityParam</t>
  </si>
  <si>
    <t>u = (y^(-0.26) -1)/-0.26</t>
  </si>
  <si>
    <t>Average inflation</t>
  </si>
  <si>
    <t>average 2005-2025</t>
  </si>
  <si>
    <t>Average real wage growth</t>
  </si>
  <si>
    <t>average 1999-2023</t>
  </si>
  <si>
    <t>Income multiplier</t>
  </si>
  <si>
    <t>Ratio 65+ pop partnered</t>
  </si>
  <si>
    <t>https://explore.data.stats.govt.nz/vis?tm=relationship&amp;pg=0&amp;snb=14&amp;df%5bds%5d=ds-nsiws-disseminate&amp;df%5bid%5d=CEN23_POP_008&amp;df%5bag%5d=STATSNZ&amp;df%5bvs%5d=1.0&amp;dq=2013%2B2018%2B2023.9999%2B99999%2B999999.99...99&amp;to%5bTIME%5d=false</t>
  </si>
  <si>
    <t>Ratio 65+ pop single</t>
  </si>
  <si>
    <t>Income from wealth</t>
  </si>
  <si>
    <t>Brave AI overveiw- need to replace</t>
  </si>
  <si>
    <t>Median home value</t>
  </si>
  <si>
    <t>https://regions.infometrics.co.nz/new-zealand/income-and-housing/house-values</t>
  </si>
  <si>
    <t>Parameters by Income Decile</t>
  </si>
  <si>
    <t>Base year total income</t>
  </si>
  <si>
    <t>Base year average income</t>
  </si>
  <si>
    <t>Revenue share BAU</t>
  </si>
  <si>
    <t>Revenue share progressive</t>
  </si>
  <si>
    <t>Share of employed 65+ population</t>
  </si>
  <si>
    <t>Weights for share of employed 65+ population</t>
  </si>
  <si>
    <t>Source:</t>
  </si>
  <si>
    <t xml:space="preserve">Quintile pop size: </t>
  </si>
  <si>
    <t>Parameters by Wealth Quintile</t>
  </si>
  <si>
    <t>Total Wealth</t>
  </si>
  <si>
    <t>Adjusted for negative values+ housing value</t>
  </si>
  <si>
    <t>Weighting of 65+ population</t>
  </si>
  <si>
    <t>Share of 65+ population</t>
  </si>
  <si>
    <t>Year</t>
  </si>
  <si>
    <t>65+</t>
  </si>
  <si>
    <t>15-64</t>
  </si>
  <si>
    <t>65+ scaling factor from base year (2025)</t>
  </si>
  <si>
    <t>working age scaling factor from base year</t>
  </si>
  <si>
    <t>https://explore.data.stats.govt.nz/vis?fs[0]=Society%2C1%7CPopulation%20projections%23CAT_POPULATION_PROJECTIONS%23%7CNational%20population%20projections%23CAT_NATIONAL_POPULATION_PROJECTIONS%23&amp;pg=0&amp;fc=Society&amp;bp=true&amp;snb=9&amp;df[ds]=ds-nsiws-disseminate&amp;df[id]=POPPR_NAT_007&amp;df[ag]=STATSNZ&amp;df[vs]=1.0&amp;dq=.2025%2B2040%2B2060%2B2078.SEX3.AGE6500%2BAGE4064%2BAGE1539%2BTOTALALLAGES&amp;ly[rw]=YEAR_POPPR_NAT_007&amp;ly[cl]=SCENARIO_POPPR_NAT_007&amp;to[TIME]=false</t>
  </si>
  <si>
    <t>Based on Median projections</t>
  </si>
  <si>
    <t>Quintile</t>
  </si>
  <si>
    <t>NZS income per recipient</t>
  </si>
  <si>
    <t>Tax BAU</t>
  </si>
  <si>
    <t>Tax  Progressive</t>
  </si>
  <si>
    <t xml:space="preserve">Gross income </t>
  </si>
  <si>
    <t>Net Income BAU</t>
  </si>
  <si>
    <t>Net income Progressive</t>
  </si>
  <si>
    <t>Welfare score BAU</t>
  </si>
  <si>
    <t>Welfare score progressive</t>
  </si>
  <si>
    <t>SWF BAU CRRA</t>
  </si>
  <si>
    <t>SWF Progressive CRRA</t>
  </si>
  <si>
    <t>SWF BAU log</t>
  </si>
  <si>
    <t>SWF Progressive log</t>
  </si>
  <si>
    <t>Years since base</t>
  </si>
  <si>
    <t>Base year annual rate singles</t>
  </si>
  <si>
    <t>Base year annual rate couples</t>
  </si>
  <si>
    <t>Mulitplier</t>
  </si>
  <si>
    <t>Current year real rate singles</t>
  </si>
  <si>
    <t>Current year annual rate couples</t>
  </si>
  <si>
    <t>Total 65+ population</t>
  </si>
  <si>
    <t>Single</t>
  </si>
  <si>
    <t>In a relationship</t>
  </si>
  <si>
    <t>NZS paid singles rate</t>
  </si>
  <si>
    <t>NZS paid couples rate</t>
  </si>
  <si>
    <t>NZS paid total to 65+</t>
  </si>
  <si>
    <t>Revenue share</t>
  </si>
  <si>
    <t>Required tax rate</t>
  </si>
  <si>
    <t>Decile NZS cost</t>
  </si>
  <si>
    <t>Wealth income</t>
  </si>
  <si>
    <t>Pension income</t>
  </si>
  <si>
    <t>Total income</t>
  </si>
  <si>
    <t>CRRA</t>
  </si>
  <si>
    <t>Log</t>
  </si>
  <si>
    <t>Utilitarian</t>
  </si>
  <si>
    <t>Adjusted score</t>
  </si>
  <si>
    <t>Prioritarian</t>
  </si>
  <si>
    <t>Maximin</t>
  </si>
  <si>
    <t>Overall</t>
  </si>
  <si>
    <t>Used 2024 wealth figures, but kept base year a 2025 to increase comparability with income model</t>
  </si>
  <si>
    <t>Simple means test - top 2 quintiles no NZS</t>
  </si>
  <si>
    <t>Pension income after means test</t>
  </si>
  <si>
    <t>total net worth of individuals 65+</t>
  </si>
  <si>
    <t>total net work of individual all ages</t>
  </si>
  <si>
    <t>65+ age group holds 37% of the wealth</t>
  </si>
  <si>
    <t>Decile</t>
  </si>
  <si>
    <t>Size tax paying group by income group</t>
  </si>
  <si>
    <t>Quintile size</t>
  </si>
  <si>
    <t xml:space="preserve">Average income pp BAU </t>
  </si>
  <si>
    <t>Average income pp progressive</t>
  </si>
  <si>
    <t>SWF BAU utility CRRA</t>
  </si>
  <si>
    <t>SWF BAU utility log</t>
  </si>
  <si>
    <t>SWF Progressive utility CRRA</t>
  </si>
  <si>
    <t>65+ employed population current year</t>
  </si>
  <si>
    <t>NZS paid total to employed 65+</t>
  </si>
  <si>
    <t>Implied average tax rate</t>
  </si>
  <si>
    <t>Employed working age pop current year</t>
  </si>
  <si>
    <t>Total tax paying population</t>
  </si>
  <si>
    <t>Employment income</t>
  </si>
  <si>
    <t>BAU Welfare Normalised</t>
  </si>
  <si>
    <t>BAU alternate utility</t>
  </si>
  <si>
    <t>Progressive Welfare Normalised</t>
  </si>
  <si>
    <t>Progressive alternate utility</t>
  </si>
  <si>
    <t>SWF BAU</t>
  </si>
  <si>
    <t>SWF Progressive</t>
  </si>
  <si>
    <t>BAU tax rates</t>
  </si>
  <si>
    <t>Progressive tax rates</t>
  </si>
  <si>
    <t>Revenue contribution BAU</t>
  </si>
  <si>
    <t>Revenue contribution progressive</t>
  </si>
  <si>
    <t>Progressive revenue contribution scaled</t>
  </si>
  <si>
    <t>Revenue Share Progressive</t>
  </si>
  <si>
    <t>Total:</t>
  </si>
  <si>
    <t>Scale:</t>
  </si>
  <si>
    <t>Checks: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</si>
</sst>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0.00_);[Red]\(&quot;$&quot;#,##0.00\)"/>
    <numFmt numFmtId="164" formatCode="0.0000000000000"/>
    <numFmt numFmtId="165" formatCode="0.00000"/>
    <numFmt numFmtId="166" formatCode="0.000000"/>
    <numFmt numFmtId="167" formatCode="0.0000000"/>
    <numFmt numFmtId="168" formatCode="0.00000000"/>
    <numFmt numFmtId="169" formatCode="0.000000000"/>
    <numFmt numFmtId="170" formatCode="0.0000000000"/>
    <numFmt numFmtId="171" formatCode="0.00000000000"/>
    <numFmt numFmtId="172" formatCode="&quot;$&quot;#,##0.00"/>
    <numFmt numFmtId="173" formatCode="0.0000"/>
  </numFmts>
  <fonts count="12">
    <font>
      <sz val="11"/>
      <color theme="1"/>
      <name val="Aptos Narrow"/>
      <family val="2"/>
      <scheme val="minor"/>
    </font>
    <font>
      <sz val="11"/>
      <color theme="0"/>
      <name val="Aptos Narrow"/>
      <family val="2"/>
      <scheme val="minor"/>
    </font>
    <font>
      <sz val="11"/>
      <color rgb="FF000000"/>
      <name val="Aptos Narrow"/>
      <family val="2"/>
      <scheme val="minor"/>
    </font>
    <font>
      <u/>
      <sz val="11"/>
      <color theme="10"/>
      <name val="Aptos Narrow"/>
      <family val="2"/>
      <scheme val="minor"/>
    </font>
    <font>
      <sz val="11"/>
      <color rgb="FF000000"/>
      <name val="Aptos Narrow"/>
      <scheme val="minor"/>
    </font>
    <font>
      <sz val="11"/>
      <color theme="1"/>
      <name val="Aptos Narrow"/>
      <scheme val="minor"/>
    </font>
    <font>
      <u/>
      <sz val="11"/>
      <color theme="1"/>
      <name val="Aptos Narrow"/>
      <family val="2"/>
      <scheme val="minor"/>
    </font>
    <font>
      <b/>
      <sz val="11"/>
      <color theme="1"/>
      <name val="Aptos Narrow"/>
      <family val="2"/>
      <scheme val="minor"/>
    </font>
    <font>
      <b/>
      <sz val="11"/>
      <color theme="2" tint="-0.499984740745262"/>
      <name val="Aptos Narrow"/>
      <family val="2"/>
      <scheme val="minor"/>
    </font>
    <font>
      <sz val="11"/>
      <color rgb="FFFF0000"/>
      <name val="Aptos Narrow"/>
      <family val="2"/>
      <scheme val="minor"/>
    </font>
    <font>
      <sz val="11"/>
      <color rgb="FFFF0000"/>
      <name val="Aptos Narrow"/>
      <scheme val="minor"/>
    </font>
    <font>
      <b/>
      <sz val="8"/>
      <color rgb="FF000000"/>
      <name val="Arial Mäori"/>
      <charset val="1"/>
    </font>
  </fonts>
  <fills count="6">
    <fill>
      <patternFill patternType="none"/>
    </fill>
    <fill>
      <patternFill patternType="gray125"/>
    </fill>
    <fill>
      <patternFill patternType="solid">
        <fgColor theme="9"/>
        <bgColor indexed="64"/>
      </patternFill>
    </fill>
    <fill>
      <patternFill patternType="solid">
        <fgColor rgb="FFC00000"/>
        <bgColor indexed="64"/>
      </patternFill>
    </fill>
    <fill>
      <patternFill patternType="solid">
        <fgColor rgb="FFFFC000"/>
        <bgColor indexed="64"/>
      </patternFill>
    </fill>
    <fill>
      <patternFill patternType="solid">
        <fgColor theme="1" tint="0.34998626667073579"/>
        <bgColor indexed="64"/>
      </patternFill>
    </fill>
  </fills>
  <borders count="2">
    <border>
      <left/>
      <right/>
      <top/>
      <bottom/>
      <diagonal/>
    </border>
    <border>
      <left/>
      <right style="dashed">
        <color rgb="FF000000"/>
      </right>
      <top/>
      <bottom/>
      <diagonal/>
    </border>
  </borders>
  <cellStyleXfs count="2">
    <xf numFmtId="0" fontId="0" fillId="0" borderId="0"/>
    <xf numFmtId="0" fontId="3" fillId="0" borderId="0" applyNumberFormat="0" applyFill="0" applyBorder="0" applyAlignment="0" applyProtection="0"/>
  </cellStyleXfs>
  <cellXfs count="50">
    <xf numFmtId="0" fontId="0" fillId="0" borderId="0" xfId="0"/>
    <xf numFmtId="0" fontId="0" fillId="0" borderId="0" xfId="0" applyAlignment="1">
      <alignment horizontal="left" vertical="top" wrapText="1"/>
    </xf>
    <xf numFmtId="0" fontId="3" fillId="0" borderId="0" xfId="1" applyAlignment="1">
      <alignment horizontal="left" vertical="top" wrapText="1"/>
    </xf>
    <xf numFmtId="0" fontId="0" fillId="2" borderId="0" xfId="0" applyFill="1" applyAlignment="1">
      <alignment horizontal="left" vertical="top" wrapText="1"/>
    </xf>
    <xf numFmtId="0" fontId="1" fillId="5" borderId="0" xfId="0" applyFont="1" applyFill="1" applyAlignment="1">
      <alignment horizontal="left" vertical="top" wrapText="1"/>
    </xf>
    <xf numFmtId="0" fontId="0" fillId="4" borderId="0" xfId="0" applyFill="1" applyAlignment="1">
      <alignment horizontal="left" vertical="top" wrapText="1"/>
    </xf>
    <xf numFmtId="0" fontId="0" fillId="3" borderId="0" xfId="0" applyFill="1" applyAlignment="1">
      <alignment horizontal="left" vertical="top" wrapText="1"/>
    </xf>
    <xf numFmtId="0" fontId="4" fillId="0" borderId="0" xfId="1" applyFont="1" applyAlignment="1">
      <alignment horizontal="left" vertical="top" wrapText="1"/>
    </xf>
    <xf numFmtId="0" fontId="4" fillId="0" borderId="0" xfId="1" applyFont="1" applyFill="1" applyAlignment="1">
      <alignment horizontal="left" vertical="top" wrapText="1"/>
    </xf>
    <xf numFmtId="0" fontId="3" fillId="0" borderId="0" xfId="1" applyFill="1" applyAlignment="1">
      <alignment horizontal="left" vertical="top" wrapText="1"/>
    </xf>
    <xf numFmtId="0" fontId="5" fillId="0" borderId="0" xfId="1" applyFont="1" applyFill="1" applyAlignment="1">
      <alignment horizontal="left" vertical="top" wrapText="1"/>
    </xf>
    <xf numFmtId="0" fontId="6" fillId="0" borderId="0" xfId="1" applyFont="1" applyFill="1" applyAlignment="1">
      <alignment horizontal="left" vertical="top" wrapText="1"/>
    </xf>
    <xf numFmtId="0" fontId="3" fillId="0" borderId="0" xfId="1"/>
    <xf numFmtId="0" fontId="2" fillId="0" borderId="0" xfId="0" applyFont="1" applyAlignment="1">
      <alignment horizontal="left" vertical="top" wrapText="1"/>
    </xf>
    <xf numFmtId="0" fontId="7" fillId="0" borderId="0" xfId="0" applyFont="1"/>
    <xf numFmtId="3" fontId="0" fillId="0" borderId="0" xfId="0" applyNumberFormat="1"/>
    <xf numFmtId="9" fontId="0" fillId="0" borderId="0" xfId="0" applyNumberFormat="1"/>
    <xf numFmtId="0" fontId="1" fillId="0" borderId="0" xfId="0" applyFont="1" applyAlignment="1">
      <alignment horizontal="left" vertical="top" wrapText="1"/>
    </xf>
    <xf numFmtId="0" fontId="4" fillId="0" borderId="0" xfId="0" applyFont="1" applyAlignment="1">
      <alignment horizontal="left" vertical="top" wrapText="1"/>
    </xf>
    <xf numFmtId="10" fontId="0" fillId="0" borderId="0" xfId="0" applyNumberFormat="1"/>
    <xf numFmtId="8" fontId="0" fillId="0" borderId="0" xfId="0" applyNumberFormat="1"/>
    <xf numFmtId="3" fontId="0" fillId="0" borderId="0" xfId="0" applyNumberFormat="1" applyAlignment="1">
      <alignment wrapText="1"/>
    </xf>
    <xf numFmtId="2" fontId="0" fillId="0" borderId="0" xfId="0" applyNumberFormat="1" applyAlignment="1">
      <alignment wrapText="1"/>
    </xf>
    <xf numFmtId="2" fontId="0" fillId="0" borderId="0" xfId="0" applyNumberFormat="1"/>
    <xf numFmtId="0" fontId="8" fillId="0" borderId="0" xfId="0" applyFont="1"/>
    <xf numFmtId="164" fontId="0" fillId="0" borderId="0" xfId="0" applyNumberFormat="1"/>
    <xf numFmtId="0" fontId="8" fillId="0" borderId="1" xfId="0" applyFont="1" applyBorder="1"/>
    <xf numFmtId="8" fontId="0" fillId="0" borderId="1" xfId="0" applyNumberFormat="1" applyBorder="1"/>
    <xf numFmtId="0" fontId="0" fillId="0" borderId="1" xfId="0" applyBorder="1"/>
    <xf numFmtId="2" fontId="0" fillId="0" borderId="1" xfId="0" applyNumberFormat="1" applyBorder="1"/>
    <xf numFmtId="0" fontId="7" fillId="0" borderId="0" xfId="0" applyFont="1" applyAlignment="1">
      <alignment horizontal="center"/>
    </xf>
    <xf numFmtId="165" fontId="0" fillId="0" borderId="0" xfId="0" applyNumberFormat="1"/>
    <xf numFmtId="2" fontId="8" fillId="0" borderId="0" xfId="0" applyNumberFormat="1" applyFont="1"/>
    <xf numFmtId="166" fontId="0" fillId="0" borderId="0" xfId="0" applyNumberFormat="1"/>
    <xf numFmtId="167" fontId="0" fillId="0" borderId="0" xfId="0" applyNumberFormat="1"/>
    <xf numFmtId="168" fontId="0" fillId="0" borderId="0" xfId="0" applyNumberFormat="1"/>
    <xf numFmtId="169" fontId="0" fillId="0" borderId="0" xfId="0" applyNumberFormat="1"/>
    <xf numFmtId="170" fontId="0" fillId="0" borderId="0" xfId="0" applyNumberFormat="1"/>
    <xf numFmtId="171" fontId="0" fillId="0" borderId="0" xfId="0" applyNumberFormat="1"/>
    <xf numFmtId="0" fontId="9" fillId="0" borderId="0" xfId="0" applyFont="1"/>
    <xf numFmtId="0" fontId="4" fillId="0" borderId="0" xfId="1" applyFont="1"/>
    <xf numFmtId="8" fontId="10" fillId="0" borderId="0" xfId="0" applyNumberFormat="1" applyFont="1"/>
    <xf numFmtId="8" fontId="9" fillId="0" borderId="0" xfId="0" applyNumberFormat="1" applyFont="1"/>
    <xf numFmtId="0" fontId="11" fillId="0" borderId="0" xfId="0" applyFont="1"/>
    <xf numFmtId="172" fontId="0" fillId="0" borderId="0" xfId="0" applyNumberFormat="1"/>
    <xf numFmtId="0" fontId="10" fillId="0" borderId="0" xfId="0" applyFont="1"/>
    <xf numFmtId="173" fontId="0" fillId="0" borderId="0" xfId="0" applyNumberFormat="1"/>
    <xf numFmtId="0" fontId="7" fillId="0" borderId="0" xfId="0" applyFont="1" applyAlignment="1">
      <alignment horizontal="left"/>
    </xf>
    <xf numFmtId="0" fontId="7" fillId="0" borderId="0" xfId="0" applyFont="1" applyAlignment="1">
      <alignment horizontal="center"/>
    </xf>
    <xf numFmtId="0" fontId="7" fillId="0" borderId="1" xfId="0" applyFont="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servicesaustralia.gov.au/assets-test-for-age-pension?context=22526" TargetMode="External"/><Relationship Id="rId21" Type="http://schemas.openxmlformats.org/officeDocument/2006/relationships/hyperlink" Target="https://www.wealthandpolicy.com/wp/BP126_AdministrationCosts.pdf" TargetMode="External"/><Relationship Id="rId42" Type="http://schemas.openxmlformats.org/officeDocument/2006/relationships/hyperlink" Target="https://www.moneyhub.co.nz/average-kiwisaver-balance-by-age.html" TargetMode="External"/><Relationship Id="rId47" Type="http://schemas.openxmlformats.org/officeDocument/2006/relationships/hyperlink" Target="https://doi.org/10.1177/1470594X11416767" TargetMode="External"/><Relationship Id="rId63" Type="http://schemas.openxmlformats.org/officeDocument/2006/relationships/hyperlink" Target="https://www.stats.govt.nz/news/annual-inflation-at-2-7-percent-in-june-2025/" TargetMode="External"/><Relationship Id="rId68" Type="http://schemas.openxmlformats.org/officeDocument/2006/relationships/hyperlink" Target="https://www.rnz.co.nz/news/business/542295/sir-ian-taylor-asks-do-you-really-need-your-pension" TargetMode="External"/><Relationship Id="rId84" Type="http://schemas.openxmlformats.org/officeDocument/2006/relationships/hyperlink" Target="https://www.rsfjournal.org/content/9/5/1" TargetMode="External"/><Relationship Id="rId89" Type="http://schemas.openxmlformats.org/officeDocument/2006/relationships/hyperlink" Target="https://www.bath.ac.uk/publications/the-fiscal-and-distributional-implications-of-alternative-universal-basic-income-schemes-in-the-uk/attachments/ipr-fiscal-distributional-implications-alternative-universal-basic-income-schemes-uk.pdf" TargetMode="External"/><Relationship Id="rId16" Type="http://schemas.openxmlformats.org/officeDocument/2006/relationships/hyperlink" Target="https://www.oecd.org/en/publications/revenue-statistics-in-asia-and-the-pacific-2025-country-notes_30d43f41-en/new-zealand_85481e0c-en.html" TargetMode="External"/><Relationship Id="rId107" Type="http://schemas.openxmlformats.org/officeDocument/2006/relationships/hyperlink" Target="https://www.ceicdata.com/en/new-zealand/employment-and-unemployment-forecast-oecd-member-annual/nz-trend-employment-rate-age-1574?utm_source=chatgpt.com" TargetMode="External"/><Relationship Id="rId11" Type="http://schemas.openxmlformats.org/officeDocument/2006/relationships/hyperlink" Target="https://digitalnz.org/nzresearch" TargetMode="External"/><Relationship Id="rId32" Type="http://schemas.openxmlformats.org/officeDocument/2006/relationships/hyperlink" Target="https://www.rnz.co.nz/news/budget-2025/561918/budget-2025-high-earners-can-t-get-kiwisaver-credit-but-they-can-get-the-pension" TargetMode="External"/><Relationship Id="rId37" Type="http://schemas.openxmlformats.org/officeDocument/2006/relationships/hyperlink" Target="https://businessdesk.co.nz/article/opinion/means-testing-super-is-inevitable" TargetMode="External"/><Relationship Id="rId53" Type="http://schemas.openxmlformats.org/officeDocument/2006/relationships/hyperlink" Target="https://www.interest.co.nz/opinion/86837/economist-bill-rosenberg-runs-ruler-over-nz-super-cost-predictions-and-argues-its-not" TargetMode="External"/><Relationship Id="rId58" Type="http://schemas.openxmlformats.org/officeDocument/2006/relationships/hyperlink" Target="https://figure.nz/chart/baZXhAYoxhIPfUNn" TargetMode="External"/><Relationship Id="rId74" Type="http://schemas.openxmlformats.org/officeDocument/2006/relationships/hyperlink" Target="https://www.1news.co.nz/2024/02/14/love-and-loss-how-relationships-can-impact-peoples-benefits/" TargetMode="External"/><Relationship Id="rId79" Type="http://schemas.openxmlformats.org/officeDocument/2006/relationships/hyperlink" Target="https://www.intereconomics.eu/contents/year/2017/number/2/article/on-the-economics-of-a-universal-basic-income.html" TargetMode="External"/><Relationship Id="rId102" Type="http://schemas.openxmlformats.org/officeDocument/2006/relationships/hyperlink" Target="https://assets.retirement.govt.nz/public/Uploads/Policy/TAAO-RC-Policy-Paper-What-else-do-people-have-beyond-KS-and-NZS_AW.pdf" TargetMode="External"/><Relationship Id="rId5" Type="http://schemas.openxmlformats.org/officeDocument/2006/relationships/hyperlink" Target="https://eprints.lse.ac.uk/2630/1/economics_of_pensions_final.pdf" TargetMode="External"/><Relationship Id="rId90" Type="http://schemas.openxmlformats.org/officeDocument/2006/relationships/hyperlink" Target="https://www.ird.govt.nz/about-us/tax-statistics/revenue-refunds/wage-salary-distributions/wage-and-salary-statistics-datasets" TargetMode="External"/><Relationship Id="rId95" Type="http://schemas.openxmlformats.org/officeDocument/2006/relationships/hyperlink" Target="https://onlinelibrary.wiley.com/doi/full/10.1111/caje.12554" TargetMode="External"/><Relationship Id="rId22" Type="http://schemas.openxmlformats.org/officeDocument/2006/relationships/hyperlink" Target="https://assets.retirement.govt.nz/public/Uploads/Policy/TAAO-RRIP-NZ-Super-issues-paper.pdf" TargetMode="External"/><Relationship Id="rId27" Type="http://schemas.openxmlformats.org/officeDocument/2006/relationships/hyperlink" Target="https://msd.govt.nz/documents/about-msd-and-our-work/publications-resources/regulatory-impact-statements/sar-indexing-main-benefits-to-inflation.docx" TargetMode="External"/><Relationship Id="rId43" Type="http://schemas.openxmlformats.org/officeDocument/2006/relationships/hyperlink" Target="https://www.moneyhub.co.nz/average-new-zealand-net-worth-by-age.html" TargetMode="External"/><Relationship Id="rId48" Type="http://schemas.openxmlformats.org/officeDocument/2006/relationships/hyperlink" Target="https://www.moneyhub.co.nz/average-nz-salary-by-ag" TargetMode="External"/><Relationship Id="rId64" Type="http://schemas.openxmlformats.org/officeDocument/2006/relationships/hyperlink" Target="https://www.sciencedirect.com/topics/economics-econometrics-and-finance/social-welfare-function" TargetMode="External"/><Relationship Id="rId69" Type="http://schemas.openxmlformats.org/officeDocument/2006/relationships/hyperlink" Target="https://www.rnz.co.nz/news/business/541778/prominent-economists-call-for-superannuation-overhaul" TargetMode="External"/><Relationship Id="rId80" Type="http://schemas.openxmlformats.org/officeDocument/2006/relationships/hyperlink" Target="https://pmc.ncbi.nlm.nih.gov/articles/PMC8036241/" TargetMode="External"/><Relationship Id="rId85" Type="http://schemas.openxmlformats.org/officeDocument/2006/relationships/hyperlink" Target="https://www.peoplespolicyproject.org/2022/11/11/universal-benefits-cost-less-than-means-tested-benefits/" TargetMode="External"/><Relationship Id="rId12" Type="http://schemas.openxmlformats.org/officeDocument/2006/relationships/hyperlink" Target="https://researchspace.auckland.ac.nz/server/api/core/bitstreams/2112fc9a-725b-40f4-a1d2-293d6622d6e8/content" TargetMode="External"/><Relationship Id="rId17" Type="http://schemas.openxmlformats.org/officeDocument/2006/relationships/hyperlink" Target="https://www.diw.de/documents/publikationen/73/diw_01.c.815476.de/dp1941.pdf" TargetMode="External"/><Relationship Id="rId33" Type="http://schemas.openxmlformats.org/officeDocument/2006/relationships/hyperlink" Target="https://www.treasury.govt.nz/sites/default/files/2021-09/ltfs-2021_2.pdf" TargetMode="External"/><Relationship Id="rId38" Type="http://schemas.openxmlformats.org/officeDocument/2006/relationships/hyperlink" Target="https://www.treasury.govt.nz/sites/default/files/2023-04/twp23-01.pdf" TargetMode="External"/><Relationship Id="rId59" Type="http://schemas.openxmlformats.org/officeDocument/2006/relationships/hyperlink" Target="https://www.treasury.govt.nz/sites/default/files/2007-11/prg-msd-dnzcrif.pdf" TargetMode="External"/><Relationship Id="rId103" Type="http://schemas.openxmlformats.org/officeDocument/2006/relationships/hyperlink" Target="https://www.treasury.govt.nz/publications/wp/wp-21-01" TargetMode="External"/><Relationship Id="rId108" Type="http://schemas.openxmlformats.org/officeDocument/2006/relationships/hyperlink" Target="https://www.treasury.govt.nz/sites/default/files/2024-12/hyefu24.pdf" TargetMode="External"/><Relationship Id="rId54" Type="http://schemas.openxmlformats.org/officeDocument/2006/relationships/hyperlink" Target="https://www.treasury.govt.nz/information-and-services/public-sector-leadership/investment-management/investment-planning/treasurys-cbax-tool" TargetMode="External"/><Relationship Id="rId70" Type="http://schemas.openxmlformats.org/officeDocument/2006/relationships/hyperlink" Target="https://www.rnz.co.nz/news/national/544002/researcher-outlines-plan-for-higher-tax-on-well-off-pensioners" TargetMode="External"/><Relationship Id="rId75" Type="http://schemas.openxmlformats.org/officeDocument/2006/relationships/hyperlink" Target="https://thespinoff.co.nz/pop-culture/17-11-2025/new-to-streaming-what-to-watch-on-netflix-nz-neon-and-more-this-week-123" TargetMode="External"/><Relationship Id="rId91" Type="http://schemas.openxmlformats.org/officeDocument/2006/relationships/hyperlink" Target="https://static1.squarespace.com/static/60189fe639b6d67b861cf5c4/t/622a7f22a6428d7d6b6df258/1646952232546/relationship+status+and+the+welfare+system.pdf" TargetMode="External"/><Relationship Id="rId96" Type="http://schemas.openxmlformats.org/officeDocument/2006/relationships/hyperlink" Target="https://www.treasury.govt.nz/sites/default/files/2018-12/twp04-22.pdf" TargetMode="External"/><Relationship Id="rId1" Type="http://schemas.openxmlformats.org/officeDocument/2006/relationships/hyperlink" Target="https://union.org.nz/economic-bulletin-august-2025/" TargetMode="External"/><Relationship Id="rId6" Type="http://schemas.openxmlformats.org/officeDocument/2006/relationships/hyperlink" Target="https://www.ilo.org/sites/default/files/wcmsp5/groups/public/%40ed_protect/%40soc_sec/documents/publication/wcms_648639.pdf" TargetMode="External"/><Relationship Id="rId15" Type="http://schemas.openxmlformats.org/officeDocument/2006/relationships/hyperlink" Target="https://assets.nationbuilder.com/beachheroes/pages/39988/attachments/original/1749098273/Budget_ONLINE.pdf?1749098273" TargetMode="External"/><Relationship Id="rId23" Type="http://schemas.openxmlformats.org/officeDocument/2006/relationships/hyperlink" Target="https://www.treasury.govt.nz/sites/default/files/2025-08/te-ara-mokopuna-ltib-2025.pdf" TargetMode="External"/><Relationship Id="rId28" Type="http://schemas.openxmlformats.org/officeDocument/2006/relationships/hyperlink" Target="https://microsimulation.pub/articles/00246" TargetMode="External"/><Relationship Id="rId36" Type="http://schemas.openxmlformats.org/officeDocument/2006/relationships/hyperlink" Target="https://newsroom.co.nz/2025/08/05/raising-pension-to-67-a-very-blunt-tool-to-address-unfairness/" TargetMode="External"/><Relationship Id="rId49" Type="http://schemas.openxmlformats.org/officeDocument/2006/relationships/hyperlink" Target="https://assets.retirement.govt.nz/public/Uploads/Older-Peoples-Voices-2024-Income-expenditure-and-decumulation_AW-2.pdf" TargetMode="External"/><Relationship Id="rId57" Type="http://schemas.openxmlformats.org/officeDocument/2006/relationships/hyperlink" Target="https://nzlii.org/nz/journals/VUWLawRw/2001/48.html" TargetMode="External"/><Relationship Id="rId106" Type="http://schemas.openxmlformats.org/officeDocument/2006/relationships/hyperlink" Target="https://papers.ssrn.com/sol3/papers.cfm?abstract_id=4222083" TargetMode="External"/><Relationship Id="rId10" Type="http://schemas.openxmlformats.org/officeDocument/2006/relationships/hyperlink" Target="https://ir.wgtn.ac.nz/server/api/core/bitstreams/89e7da4d-6e1d-409b-a690-ece4e642386d/content" TargetMode="External"/><Relationship Id="rId31" Type="http://schemas.openxmlformats.org/officeDocument/2006/relationships/hyperlink" Target="https://retirement.govt.nz/news/latest-news/nz-super-is-a-taonga-not-a-burden-retirement-commissioner-seeks-political-accord" TargetMode="External"/><Relationship Id="rId44" Type="http://schemas.openxmlformats.org/officeDocument/2006/relationships/hyperlink" Target="https://www.unitedwaycleveland.org/benefits-cliff-challenges-and-solutions/" TargetMode="External"/><Relationship Id="rId52" Type="http://schemas.openxmlformats.org/officeDocument/2006/relationships/hyperlink" Target="https://www.thepost.co.nz/nz-news/360738318/what-sensible-adults-dont-tell-you-about-cost-super" TargetMode="External"/><Relationship Id="rId60" Type="http://schemas.openxmlformats.org/officeDocument/2006/relationships/hyperlink" Target="https://www.stats.govt.nz/news/income-growth-for-wage-and-salary-earners-remains-strong/" TargetMode="External"/><Relationship Id="rId65" Type="http://schemas.openxmlformats.org/officeDocument/2006/relationships/hyperlink" Target="https://www.sciencedirect.com/science/article/pii/S0047272708000248" TargetMode="External"/><Relationship Id="rId73" Type="http://schemas.openxmlformats.org/officeDocument/2006/relationships/hyperlink" Target="https://www.msd.govt.nz/about-msd-and-our-work/publications-resources/research/weag/index.html" TargetMode="External"/><Relationship Id="rId78" Type="http://schemas.openxmlformats.org/officeDocument/2006/relationships/hyperlink" Target="https://www.stuff.co.nz/business/300001967/breadwinner-asks-why-cant-i-access-government-support?rm=a" TargetMode="External"/><Relationship Id="rId81" Type="http://schemas.openxmlformats.org/officeDocument/2006/relationships/hyperlink" Target="https://www.aei.org/articles/means-testing-and-its-limits/" TargetMode="External"/><Relationship Id="rId86" Type="http://schemas.openxmlformats.org/officeDocument/2006/relationships/hyperlink" Target="https://berl.co.nz/our-mahi/inequality-and-new-zealand" TargetMode="External"/><Relationship Id="rId94" Type="http://schemas.openxmlformats.org/officeDocument/2006/relationships/hyperlink" Target="https://onlinelibrary.wiley.com/doi/full/10.1111/sjoe.12477" TargetMode="External"/><Relationship Id="rId99" Type="http://schemas.openxmlformats.org/officeDocument/2006/relationships/hyperlink" Target="https://data-explorer.oecd.org/vis?tm=labour%20force%20participation%2065%2B&amp;pg=0&amp;snb=3&amp;df%5bds%5d=dsDisseminateFinalDMZ&amp;df%5bid%5d=DSD_LFS%40DF_LFS_INDIC&amp;df%5bag%5d=OECD.ELS.SAE&amp;df%5bvs%5d=1.1&amp;dq=AUS%2BAUT%2BBEL%2BCAN%2BCHL%2BCOL%2BCRI%2BCZE%2BDNK%2BEST%2BFIN%2BFRA%2BDEU%2BGRC%2BHUN%2BISL%2BIRL%2BISR%2BITA%2BJPN%2BKOR%2BLVA%2BLTU%2BLUX%2BMEX%2BNLD%2BNZL%2BNOR%2BPOL%2BPRT%2BSVK%2BSVN%2BESP%2BSWE%2BCHE%2BTUR%2BGBR%2BUSA%2BG7%2BEU27%2BEU19OECD%2BEU22OECD%2BOECD%2BOECD_REP%2BE%2BARG%2BBRA%2BBGR%2BHRV%2BCYP%2BIND%2BMLT%2BMKD%2BPER%2BROU%2BRUS%2BZAF.LF_RATE.PT_POP_SUB._T.Y_GE65.LF&amp;lom=LASTNPERIODS&amp;lo=5&amp;to%5bTIME_PERIOD%5d=false&amp;vw=tb" TargetMode="External"/><Relationship Id="rId101" Type="http://schemas.openxmlformats.org/officeDocument/2006/relationships/hyperlink" Target="https://assets.retirement.govt.nz/public/Uploads/Retirement-Income-Policy-Review/2025-RRIP/Review-of-Retirement-Income-Policies-2025_WEB.pdf" TargetMode="External"/><Relationship Id="rId4" Type="http://schemas.openxmlformats.org/officeDocument/2006/relationships/hyperlink" Target="https://doi.org/10.1093/acprof:oso/9780195387728.001.0001" TargetMode="External"/><Relationship Id="rId9" Type="http://schemas.openxmlformats.org/officeDocument/2006/relationships/hyperlink" Target="https://ojs.victoria.ac.nz/pq/issue/view/1030" TargetMode="External"/><Relationship Id="rId13" Type="http://schemas.openxmlformats.org/officeDocument/2006/relationships/hyperlink" Target="https://www.nzier.org.nz/hubfs/Lessons%20from%20the%20Australian%20retirement%20income%20system%20NZIER%20WP%202024-01.pdf" TargetMode="External"/><Relationship Id="rId18" Type="http://schemas.openxmlformats.org/officeDocument/2006/relationships/hyperlink" Target="https://www.theguardian.com/social-care-network/2013/jan/14/means-testing-benefits-not-efficient-fair" TargetMode="External"/><Relationship Id="rId39" Type="http://schemas.openxmlformats.org/officeDocument/2006/relationships/hyperlink" Target="https://www.treasury.govt.nz/sites/default/files/2025-05/b25-at-a-glance.pdf" TargetMode="External"/><Relationship Id="rId109" Type="http://schemas.openxmlformats.org/officeDocument/2006/relationships/hyperlink" Target="https://www.treasury.govt.nz/publications/research-and-commentary/rangitaki-blog/why-high-income-households-get-benefits" TargetMode="External"/><Relationship Id="rId34" Type="http://schemas.openxmlformats.org/officeDocument/2006/relationships/hyperlink" Target="https://www.treasury.govt.nz/sites/default/files/2017-03/sup-3753736.pdf" TargetMode="External"/><Relationship Id="rId50" Type="http://schemas.openxmlformats.org/officeDocument/2006/relationships/hyperlink" Target="https://www.treasury.govt.nz/sites/default/files/2023-04/an23-01.pdf" TargetMode="External"/><Relationship Id="rId55" Type="http://schemas.openxmlformats.org/officeDocument/2006/relationships/hyperlink" Target="https://www.msd.govt.nz/about-msd-and-our-work/publications-resources/journals-and-magazines/social-policy-journal/spj37/37-still-kicking-the-royal-commission-on-social-policy-20-years-on.html" TargetMode="External"/><Relationship Id="rId76" Type="http://schemas.openxmlformats.org/officeDocument/2006/relationships/hyperlink" Target="https://capsulenz.com/think/benefit-nz/" TargetMode="External"/><Relationship Id="rId97" Type="http://schemas.openxmlformats.org/officeDocument/2006/relationships/hyperlink" Target="https://www.oecd.org/en/publications/2025/07/oecd-employment-outlook-2025_5345f034/full-report/navigating-the-golden-years-making-the-labour-market-work-for-older-workers_2bc681ed.html" TargetMode="External"/><Relationship Id="rId104" Type="http://schemas.openxmlformats.org/officeDocument/2006/relationships/hyperlink" Target="https://www.treasury.govt.nz/publications/new-zealand-superannuation-fund-contribution-rate-model-hyefu-2020" TargetMode="External"/><Relationship Id="rId7" Type="http://schemas.openxmlformats.org/officeDocument/2006/relationships/hyperlink" Target="https://documents1.worldbank.org/curated/en/436241468045861160/pdf/928720PUB0Box3021039009781464803901.pdf" TargetMode="External"/><Relationship Id="rId71" Type="http://schemas.openxmlformats.org/officeDocument/2006/relationships/hyperlink" Target="https://tewaharoa.victoria.ac.nz/discovery/fulldisplay?docid=cdi_pubmed_primary_35929403&amp;context=PC&amp;vid=64VUW_INST:VUWNUI&amp;lang=en&amp;search_scope=MyInst_and_CI&amp;adaptor=Primo%20Central&amp;tab=all&amp;query=any,contains,%22politic*%22%20AND%20%22comm*%22%20AND%20%22tax%22%20AND%20%22reform%22%20AND%20%22public%22%20AND%20%22narrative%22&amp;offset=0" TargetMode="External"/><Relationship Id="rId92" Type="http://schemas.openxmlformats.org/officeDocument/2006/relationships/hyperlink" Target="https://www.taxpolicy.ird.govt.nz/-/media/project/ir/tp/publications/2008/2008-dd-income-splitting/2008-dd-income-splitting-pdf.pdf" TargetMode="External"/><Relationship Id="rId2" Type="http://schemas.openxmlformats.org/officeDocument/2006/relationships/hyperlink" Target="https://eprints.lse.ac.uk/25099/1/Reforming_pensions_(LSERO_version).pdf" TargetMode="External"/><Relationship Id="rId29" Type="http://schemas.openxmlformats.org/officeDocument/2006/relationships/hyperlink" Target="https://www.workandincome.govt.nz/map/deskfile/nz-superannuation-and-veterans-pension-tables/new-zealand-superannuation-and-veterans-pension-ra.html" TargetMode="External"/><Relationship Id="rId24" Type="http://schemas.openxmlformats.org/officeDocument/2006/relationships/hyperlink" Target="https://www.treasury.govt.nz/sites/default/files/2021-09/ltfs-2021_2.pdf" TargetMode="External"/><Relationship Id="rId40" Type="http://schemas.openxmlformats.org/officeDocument/2006/relationships/hyperlink" Target="https://www.greypower.co.nz/maintaining-nz-super-benefits" TargetMode="External"/><Relationship Id="rId45" Type="http://schemas.openxmlformats.org/officeDocument/2006/relationships/hyperlink" Target="https://www.stats.govt.nz/experimental/national-accounts-income-saving-assets-and-liabilities-march-2025-quarter/" TargetMode="External"/><Relationship Id="rId66" Type="http://schemas.openxmlformats.org/officeDocument/2006/relationships/hyperlink" Target="https://explore.data.stats.govt.nz/vis?fs%5b0%5d=2023%20Census%2C0%7CIncome%23CAT_INCOME%23&amp;pg=20&amp;fc=Access%20to%20basic%20amenities&amp;bp=true&amp;snb=75&amp;df%5bds%5d=ds-nsiws-disseminate&amp;df%5bid%5d=CEN23_DEP_010&amp;df%5bag%5d=STATSNZ&amp;df%5bvs%5d=1.0&amp;dq=2023.9999%2B99999%2B999999.999..999..99&amp;to%5bTIME%5d=false" TargetMode="External"/><Relationship Id="rId87" Type="http://schemas.openxmlformats.org/officeDocument/2006/relationships/hyperlink" Target="https://www.wgtn.ac.nz/__data/assets/pdf_file/0007/1935430/WP-21-10-wealth-inequality-in-New-Zealand.pdf" TargetMode="External"/><Relationship Id="rId110" Type="http://schemas.openxmlformats.org/officeDocument/2006/relationships/hyperlink" Target="https://www.treasury.govt.nz/sites/default/files/2013-07/twp13-13.pdf" TargetMode="External"/><Relationship Id="rId61" Type="http://schemas.openxmlformats.org/officeDocument/2006/relationships/hyperlink" Target="https://doi.org/10.1177/1470594X11416767" TargetMode="External"/><Relationship Id="rId82" Type="http://schemas.openxmlformats.org/officeDocument/2006/relationships/hyperlink" Target="https://www.treasury.govt.nz/sites/default/files/2018-07/oia-20180164.pdf" TargetMode="External"/><Relationship Id="rId19" Type="http://schemas.openxmlformats.org/officeDocument/2006/relationships/hyperlink" Target="https://www.nber.org/papers/w22424" TargetMode="External"/><Relationship Id="rId14" Type="http://schemas.openxmlformats.org/officeDocument/2006/relationships/hyperlink" Target="https://assets.retirement.govt.nz/public/Uploads/Aotearoa-New-Zealand-in-2050-FINAL-v3.pdf" TargetMode="External"/><Relationship Id="rId30" Type="http://schemas.openxmlformats.org/officeDocument/2006/relationships/hyperlink" Target="https://nzpri.aut.ac.nz/__data/assets/pdf_file/0006/181437/Individualising-entitlements-in-New-Zealands-benefit-and-social-assistance-systems.pdf" TargetMode="External"/><Relationship Id="rId35" Type="http://schemas.openxmlformats.org/officeDocument/2006/relationships/hyperlink" Target="https://www.treasury.govt.nz/sites/default/files/2017-03/sup-3753700.pdf" TargetMode="External"/><Relationship Id="rId56" Type="http://schemas.openxmlformats.org/officeDocument/2006/relationships/hyperlink" Target="https://www.msd.govt.nz/about-msd-and-our-work/publications-resources/statistics/benefit/index.html" TargetMode="External"/><Relationship Id="rId77" Type="http://schemas.openxmlformats.org/officeDocument/2006/relationships/hyperlink" Target="https://www.stuff.co.nz/business/122254002/in-a-relationship-almost-half-of-nzers-think-you-should-get-benefit-anyway" TargetMode="External"/><Relationship Id="rId100" Type="http://schemas.openxmlformats.org/officeDocument/2006/relationships/hyperlink" Target="https://www.aut.ac.nz/__data/assets/pdf_file/0006/654540/Working-paper-22_02.pdf" TargetMode="External"/><Relationship Id="rId105" Type="http://schemas.openxmlformats.org/officeDocument/2006/relationships/hyperlink" Target="https://www.health.govt.nz/publications/annual-update-of-key-results-202425-new-zealand-health-survey" TargetMode="External"/><Relationship Id="rId8" Type="http://schemas.openxmlformats.org/officeDocument/2006/relationships/hyperlink" Target="https://cepr.org/system/files/publication-files/219445-rethinking_pension_reform.pdf" TargetMode="External"/><Relationship Id="rId51" Type="http://schemas.openxmlformats.org/officeDocument/2006/relationships/hyperlink" Target="https://assets.retirement.govt.nz/public/Uploads/Research/TAAO-Older-Peoples-Voices-Research.pdf" TargetMode="External"/><Relationship Id="rId72" Type="http://schemas.openxmlformats.org/officeDocument/2006/relationships/hyperlink" Target="https://thespinoff.co.nz/politics/17-11-2025/perpetually-broke-how-new-zealand-could-eventually-afford-its-future" TargetMode="External"/><Relationship Id="rId93" Type="http://schemas.openxmlformats.org/officeDocument/2006/relationships/hyperlink" Target="https://www.jstor.org/stable/27087129?sid=primo&amp;seq=1" TargetMode="External"/><Relationship Id="rId98" Type="http://schemas.openxmlformats.org/officeDocument/2006/relationships/hyperlink" Target="https://www.econstor.eu/handle/10419/205574" TargetMode="External"/><Relationship Id="rId3" Type="http://schemas.openxmlformats.org/officeDocument/2006/relationships/hyperlink" Target="https://www.treasury.govt.nz/publications/ap/ap22-03" TargetMode="External"/><Relationship Id="rId25" Type="http://schemas.openxmlformats.org/officeDocument/2006/relationships/hyperlink" Target="https://www.taxpolicy.ird.govt.nz/consultation/2025/ir-ltib" TargetMode="External"/><Relationship Id="rId46" Type="http://schemas.openxmlformats.org/officeDocument/2006/relationships/hyperlink" Target="https://www.oecd.org/content/dam/oecd/en/publications/reports/2024/10/pensions-at-a-glance-2023-country-notes_2e11a061/iceland_94fa7700/71cbafb9-en.pdf" TargetMode="External"/><Relationship Id="rId67" Type="http://schemas.openxmlformats.org/officeDocument/2006/relationships/hyperlink" Target="https://www.rnz.co.nz/news/national/565049/thousands-of-over-65s-earn-more-than-200-000-should-they-get-nz-super" TargetMode="External"/><Relationship Id="rId20" Type="http://schemas.openxmlformats.org/officeDocument/2006/relationships/hyperlink" Target="https://newsroom.co.nz/2025/06/09/nzs-means-testing-creep/" TargetMode="External"/><Relationship Id="rId41" Type="http://schemas.openxmlformats.org/officeDocument/2006/relationships/hyperlink" Target="https://www.officeforseniors.govt.nz/assets/documents/our-work/better-later-life/indicators/Initial-indicator-Better-Later-Life-achieving-financial-security-and-economic-participation.pdf" TargetMode="External"/><Relationship Id="rId62" Type="http://schemas.openxmlformats.org/officeDocument/2006/relationships/hyperlink" Target="https://motu-www.motu.org.nz/wpapers/23_05.pdf" TargetMode="External"/><Relationship Id="rId83" Type="http://schemas.openxmlformats.org/officeDocument/2006/relationships/hyperlink" Target="https://www.taxpolicy.ird.govt.nz/-/media/project/ir/tp/publications/2025/ir-budget-2025.pdf?modified=20250908051341" TargetMode="External"/><Relationship Id="rId88" Type="http://schemas.openxmlformats.org/officeDocument/2006/relationships/hyperlink" Target="https://www.aei.org/articles/means-testing-and-its-limits/"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infoshare.stats.govt.nz/SelectVariables.aspx?pxID=a3faf5f4-e39a-4dbb-be8e-f81723992bcb" TargetMode="External"/><Relationship Id="rId3" Type="http://schemas.openxmlformats.org/officeDocument/2006/relationships/hyperlink" Target="https://www.sciencedirect.com/science/article/pii/S0047272708000248" TargetMode="External"/><Relationship Id="rId7" Type="http://schemas.openxmlformats.org/officeDocument/2006/relationships/hyperlink" Target="https://infoshare.stats.govt.nz/ViewTable.aspx?pxID=a16e84d4-00a9-41d6-8a4a-8bf771bd2d2d" TargetMode="External"/><Relationship Id="rId2" Type="http://schemas.openxmlformats.org/officeDocument/2006/relationships/hyperlink" Target="https://www.stats.govt.nz/news/income-growth-for-wage-and-salary-earners-remains-strong/" TargetMode="External"/><Relationship Id="rId1" Type="http://schemas.openxmlformats.org/officeDocument/2006/relationships/hyperlink" Target="https://www.stats.govt.nz/news/annual-inflation-at-2-7-percent-in-june-2025/" TargetMode="External"/><Relationship Id="rId6" Type="http://schemas.openxmlformats.org/officeDocument/2006/relationships/hyperlink" Target="https://explore.data.stats.govt.nz/vis?tm=relationship&amp;pg=0&amp;snb=14&amp;df%5bds%5d=ds-nsiws-disseminate&amp;df%5bid%5d=CEN23_POP_008&amp;df%5bag%5d=STATSNZ&amp;df%5bvs%5d=1.0&amp;dq=2013%2B2018%2B2023.9999%2B99999%2B999999.99...99&amp;to%5bTIME%5d=false" TargetMode="External"/><Relationship Id="rId11" Type="http://schemas.openxmlformats.org/officeDocument/2006/relationships/hyperlink" Target="https://regions.infometrics.co.nz/new-zealand/income-and-housing/house-values" TargetMode="External"/><Relationship Id="rId5" Type="http://schemas.openxmlformats.org/officeDocument/2006/relationships/hyperlink" Target="https://explore.data.stats.govt.nz/vis?tm=relationship&amp;pg=0&amp;snb=14&amp;df%5bds%5d=ds-nsiws-disseminate&amp;df%5bid%5d=CEN23_POP_008&amp;df%5bag%5d=STATSNZ&amp;df%5bvs%5d=1.0&amp;dq=2013%2B2018%2B2023.9999%2B99999%2B999999.99...99&amp;to%5bTIME%5d=false" TargetMode="External"/><Relationship Id="rId10" Type="http://schemas.openxmlformats.org/officeDocument/2006/relationships/hyperlink" Target="https://www.workandincome.govt.nz/map/deskfile/nz-superannuation-and-veterans-pension-tables/new-zealand-superannuation-and-veterans-pension-ra.html" TargetMode="External"/><Relationship Id="rId4" Type="http://schemas.openxmlformats.org/officeDocument/2006/relationships/hyperlink" Target="https://www.ird.govt.nz/about-us/tax-statistics/revenue-refunds/wage-salary-distributions/wage-and-salary-statistics-datasets" TargetMode="External"/><Relationship Id="rId9" Type="http://schemas.openxmlformats.org/officeDocument/2006/relationships/hyperlink" Target="https://www.workandincome.govt.nz/map/deskfile/nz-superannuation-and-veterans-pension-tables/new-zealand-superannuation-and-veterans-pension-ra.html"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explore.data.stats.govt.nz/vis?fs%5b0%5d=Society%2C1%7CPopulation%20projections%23CAT_POPULATION_PROJECTIONS%23%7CNational%20population%20projections%23CAT_NATIONAL_POPULATION_PROJECTIONS%23&amp;pg=0&amp;fc=Society&amp;bp=true&amp;snb=9&amp;df%5bds%5d=ds-nsiws-disseminate&amp;df%5bid%5d=POPPR_NAT_007&amp;df%5bag%5d=STATSNZ&amp;df%5bvs%5d=1.0&amp;dq=.2025%2B2040%2B2060%2B2078.SEX3.AGE6500%2BAGE4064%2BAGE1539%2BTOTALALLAGES&amp;ly%5brw%5d=YEAR_POPPR_NAT_007&amp;ly%5bcl%5d=SCENARIO_POPPR_NAT_007&amp;to%5bTIME%5d=fal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F3708-5986-41E3-8035-D44691E8C102}">
  <dimension ref="A1:J122"/>
  <sheetViews>
    <sheetView topLeftCell="A25" workbookViewId="0">
      <selection activeCell="D28" sqref="D28"/>
    </sheetView>
  </sheetViews>
  <sheetFormatPr defaultRowHeight="15"/>
  <cols>
    <col min="1" max="1" width="13.85546875" style="1" customWidth="1"/>
    <col min="2" max="2" width="30.85546875" style="1" customWidth="1"/>
    <col min="3" max="3" width="19.5703125" style="1" customWidth="1"/>
    <col min="4" max="4" width="23" style="1" customWidth="1"/>
    <col min="5" max="5" width="45.28515625" style="1" customWidth="1"/>
    <col min="6" max="6" width="60.42578125" style="1" customWidth="1"/>
    <col min="7" max="7" width="55.28515625" style="1" customWidth="1"/>
    <col min="8" max="8" width="96.140625" style="1" customWidth="1"/>
    <col min="9" max="9" width="39.28515625" style="1" customWidth="1"/>
    <col min="10" max="10" width="29.85546875" style="1" customWidth="1"/>
    <col min="11" max="16384" width="9.140625" style="1"/>
  </cols>
  <sheetData>
    <row r="1" spans="1:10" s="4" customFormat="1">
      <c r="B1" s="4" t="s">
        <v>0</v>
      </c>
    </row>
    <row r="2" spans="1:10" ht="29.25">
      <c r="A2" s="1" t="s">
        <v>1</v>
      </c>
      <c r="B2" s="1" t="s">
        <v>2</v>
      </c>
      <c r="C2" s="1" t="s">
        <v>3</v>
      </c>
      <c r="D2" s="1" t="s">
        <v>4</v>
      </c>
      <c r="E2" s="1" t="s">
        <v>5</v>
      </c>
      <c r="F2" s="1" t="s">
        <v>6</v>
      </c>
      <c r="G2" s="1" t="s">
        <v>7</v>
      </c>
      <c r="H2" s="1" t="s">
        <v>8</v>
      </c>
      <c r="J2" s="1" t="s">
        <v>9</v>
      </c>
    </row>
    <row r="3" spans="1:10" ht="29.25">
      <c r="E3" s="2" t="s">
        <v>10</v>
      </c>
      <c r="F3" s="1" t="s">
        <v>11</v>
      </c>
    </row>
    <row r="4" spans="1:10" ht="103.5" customHeight="1">
      <c r="B4" s="1" t="s">
        <v>12</v>
      </c>
      <c r="D4" s="1" t="s">
        <v>13</v>
      </c>
      <c r="E4" s="2" t="s">
        <v>14</v>
      </c>
      <c r="F4" s="1" t="s">
        <v>15</v>
      </c>
      <c r="G4" s="1" t="s">
        <v>16</v>
      </c>
      <c r="J4" s="1">
        <v>19</v>
      </c>
    </row>
    <row r="5" spans="1:10" ht="103.5" customHeight="1">
      <c r="C5" s="1" t="s">
        <v>17</v>
      </c>
      <c r="D5" s="1" t="s">
        <v>18</v>
      </c>
      <c r="E5" s="2" t="s">
        <v>19</v>
      </c>
      <c r="F5" s="1" t="s">
        <v>20</v>
      </c>
      <c r="G5" s="1" t="s">
        <v>21</v>
      </c>
      <c r="J5" s="1" t="s">
        <v>22</v>
      </c>
    </row>
    <row r="6" spans="1:10" ht="103.5" customHeight="1">
      <c r="B6" s="1" t="s">
        <v>23</v>
      </c>
      <c r="C6" s="1" t="s">
        <v>17</v>
      </c>
      <c r="D6" s="1" t="s">
        <v>24</v>
      </c>
      <c r="E6" s="2" t="s">
        <v>25</v>
      </c>
      <c r="J6" s="1">
        <v>28</v>
      </c>
    </row>
    <row r="7" spans="1:10" ht="103.5" customHeight="1">
      <c r="B7" s="1" t="s">
        <v>26</v>
      </c>
      <c r="C7" s="1" t="s">
        <v>17</v>
      </c>
      <c r="D7" s="1" t="s">
        <v>24</v>
      </c>
      <c r="E7" s="2" t="s">
        <v>27</v>
      </c>
      <c r="J7" s="1">
        <v>40</v>
      </c>
    </row>
    <row r="8" spans="1:10" ht="103.5" customHeight="1">
      <c r="B8" s="1" t="s">
        <v>28</v>
      </c>
      <c r="C8" s="1" t="s">
        <v>29</v>
      </c>
      <c r="D8" s="1" t="s">
        <v>24</v>
      </c>
      <c r="E8" s="2" t="s">
        <v>30</v>
      </c>
      <c r="G8" s="1" t="s">
        <v>31</v>
      </c>
      <c r="J8" s="1">
        <v>70</v>
      </c>
    </row>
    <row r="9" spans="1:10" ht="103.5" customHeight="1">
      <c r="B9" s="1" t="s">
        <v>32</v>
      </c>
      <c r="C9" s="1" t="s">
        <v>33</v>
      </c>
      <c r="D9" s="1" t="s">
        <v>24</v>
      </c>
      <c r="E9" s="2" t="s">
        <v>34</v>
      </c>
      <c r="G9" s="1" t="s">
        <v>35</v>
      </c>
      <c r="J9" s="1">
        <v>46</v>
      </c>
    </row>
    <row r="10" spans="1:10" ht="103.5" customHeight="1">
      <c r="B10" s="1" t="s">
        <v>36</v>
      </c>
      <c r="C10" s="1" t="s">
        <v>37</v>
      </c>
      <c r="D10" s="1" t="s">
        <v>24</v>
      </c>
      <c r="E10" s="2" t="s">
        <v>38</v>
      </c>
      <c r="G10" s="1" t="s">
        <v>39</v>
      </c>
    </row>
    <row r="11" spans="1:10" ht="103.5" customHeight="1">
      <c r="B11" s="1" t="s">
        <v>40</v>
      </c>
      <c r="D11" s="1" t="s">
        <v>41</v>
      </c>
      <c r="E11" s="2" t="s">
        <v>42</v>
      </c>
      <c r="G11" s="1" t="s">
        <v>43</v>
      </c>
    </row>
    <row r="12" spans="1:10" ht="103.5" customHeight="1">
      <c r="B12" s="1" t="s">
        <v>44</v>
      </c>
      <c r="C12" s="1" t="s">
        <v>45</v>
      </c>
      <c r="D12" s="2" t="s">
        <v>46</v>
      </c>
      <c r="E12" s="2" t="s">
        <v>47</v>
      </c>
      <c r="F12" s="1" t="s">
        <v>48</v>
      </c>
      <c r="J12" s="1">
        <v>46</v>
      </c>
    </row>
    <row r="13" spans="1:10" ht="103.5" customHeight="1">
      <c r="B13" s="1" t="s">
        <v>49</v>
      </c>
      <c r="C13" s="1" t="s">
        <v>50</v>
      </c>
      <c r="D13" s="7" t="s">
        <v>51</v>
      </c>
      <c r="E13" s="2" t="s">
        <v>52</v>
      </c>
      <c r="F13" s="1" t="s">
        <v>53</v>
      </c>
      <c r="J13" s="1">
        <v>64</v>
      </c>
    </row>
    <row r="14" spans="1:10" ht="103.5" customHeight="1">
      <c r="B14" s="1" t="s">
        <v>54</v>
      </c>
      <c r="C14" s="1" t="s">
        <v>55</v>
      </c>
      <c r="D14" s="7" t="s">
        <v>56</v>
      </c>
      <c r="E14" s="2" t="s">
        <v>57</v>
      </c>
      <c r="F14" s="1" t="s">
        <v>58</v>
      </c>
    </row>
    <row r="15" spans="1:10" ht="103.5" customHeight="1">
      <c r="B15" s="1" t="s">
        <v>59</v>
      </c>
      <c r="C15" s="1" t="s">
        <v>60</v>
      </c>
      <c r="D15" s="7" t="s">
        <v>61</v>
      </c>
      <c r="E15" s="2" t="s">
        <v>62</v>
      </c>
      <c r="F15" s="1" t="s">
        <v>63</v>
      </c>
      <c r="G15" s="1" t="s">
        <v>64</v>
      </c>
      <c r="J15" s="1">
        <v>23</v>
      </c>
    </row>
    <row r="16" spans="1:10" ht="103.5" customHeight="1">
      <c r="B16" s="1" t="s">
        <v>65</v>
      </c>
      <c r="C16" s="1" t="s">
        <v>66</v>
      </c>
      <c r="D16" s="7" t="s">
        <v>67</v>
      </c>
      <c r="E16" s="2" t="s">
        <v>68</v>
      </c>
      <c r="G16" s="1" t="s">
        <v>69</v>
      </c>
      <c r="I16" s="1" t="s">
        <v>70</v>
      </c>
    </row>
    <row r="17" spans="2:10" ht="103.5" customHeight="1">
      <c r="B17" s="1" t="s">
        <v>71</v>
      </c>
      <c r="C17" s="1" t="s">
        <v>72</v>
      </c>
      <c r="D17" s="7"/>
      <c r="E17" s="2" t="s">
        <v>73</v>
      </c>
      <c r="F17" s="1" t="s">
        <v>74</v>
      </c>
    </row>
    <row r="18" spans="2:10" ht="103.5" customHeight="1">
      <c r="D18" s="7"/>
      <c r="E18" s="2" t="s">
        <v>75</v>
      </c>
    </row>
    <row r="19" spans="2:10" ht="103.5" customHeight="1">
      <c r="B19" s="1" t="s">
        <v>76</v>
      </c>
      <c r="D19" s="7"/>
      <c r="E19" s="2" t="s">
        <v>77</v>
      </c>
      <c r="F19" s="1" t="s">
        <v>78</v>
      </c>
    </row>
    <row r="20" spans="2:10" ht="103.5" customHeight="1">
      <c r="B20" s="1" t="s">
        <v>79</v>
      </c>
      <c r="C20" s="1" t="s">
        <v>80</v>
      </c>
      <c r="D20" s="7"/>
      <c r="E20" s="2"/>
      <c r="F20" s="1" t="s">
        <v>81</v>
      </c>
    </row>
    <row r="21" spans="2:10" ht="103.5" customHeight="1">
      <c r="C21" s="1" t="s">
        <v>82</v>
      </c>
      <c r="D21" s="7"/>
      <c r="E21" s="2" t="s">
        <v>83</v>
      </c>
      <c r="F21" s="1" t="s">
        <v>84</v>
      </c>
    </row>
    <row r="22" spans="2:10" ht="103.5" customHeight="1">
      <c r="B22" s="1" t="s">
        <v>85</v>
      </c>
      <c r="C22" s="1" t="s">
        <v>86</v>
      </c>
      <c r="D22" s="7"/>
      <c r="E22" s="2"/>
    </row>
    <row r="23" spans="2:10" ht="103.5" customHeight="1">
      <c r="B23" s="1" t="s">
        <v>87</v>
      </c>
      <c r="C23" s="1" t="s">
        <v>86</v>
      </c>
      <c r="D23" s="7"/>
      <c r="E23" s="2"/>
    </row>
    <row r="24" spans="2:10" ht="103.5" customHeight="1">
      <c r="B24" s="1" t="s">
        <v>88</v>
      </c>
      <c r="C24" s="1" t="s">
        <v>86</v>
      </c>
      <c r="D24" s="7"/>
      <c r="E24" s="2"/>
    </row>
    <row r="25" spans="2:10" ht="103.5" customHeight="1">
      <c r="B25" s="1" t="s">
        <v>89</v>
      </c>
      <c r="C25" s="1" t="s">
        <v>86</v>
      </c>
      <c r="D25" s="7"/>
      <c r="E25" s="2"/>
    </row>
    <row r="26" spans="2:10" ht="103.5" customHeight="1">
      <c r="B26" s="1" t="s">
        <v>90</v>
      </c>
      <c r="D26" s="7"/>
      <c r="E26" s="2" t="s">
        <v>91</v>
      </c>
    </row>
    <row r="27" spans="2:10" s="3" customFormat="1">
      <c r="B27" s="3" t="s">
        <v>92</v>
      </c>
    </row>
    <row r="28" spans="2:10" ht="29.25">
      <c r="E28" s="9" t="s">
        <v>93</v>
      </c>
      <c r="F28" s="1" t="s">
        <v>94</v>
      </c>
    </row>
    <row r="29" spans="2:10" ht="174">
      <c r="E29" s="9" t="s">
        <v>95</v>
      </c>
      <c r="F29" s="1" t="s">
        <v>96</v>
      </c>
    </row>
    <row r="30" spans="2:10" s="17" customFormat="1" ht="43.5">
      <c r="E30" s="9" t="s">
        <v>97</v>
      </c>
      <c r="F30" s="18" t="s">
        <v>98</v>
      </c>
      <c r="G30" s="18" t="s">
        <v>99</v>
      </c>
    </row>
    <row r="31" spans="2:10" ht="57.75">
      <c r="B31" s="1" t="s">
        <v>100</v>
      </c>
      <c r="E31" s="9" t="s">
        <v>101</v>
      </c>
      <c r="F31" s="1" t="s">
        <v>102</v>
      </c>
      <c r="G31" s="1" t="s">
        <v>103</v>
      </c>
    </row>
    <row r="32" spans="2:10" ht="87">
      <c r="B32" s="1" t="s">
        <v>104</v>
      </c>
      <c r="C32" s="1" t="s">
        <v>105</v>
      </c>
      <c r="E32" s="9" t="s">
        <v>106</v>
      </c>
      <c r="F32" s="1" t="s">
        <v>107</v>
      </c>
      <c r="G32" s="1" t="s">
        <v>108</v>
      </c>
      <c r="H32" s="1" t="s">
        <v>109</v>
      </c>
      <c r="I32" s="1" t="s">
        <v>110</v>
      </c>
      <c r="J32" s="1" t="s">
        <v>111</v>
      </c>
    </row>
    <row r="33" spans="2:10" ht="43.5">
      <c r="B33" s="1" t="s">
        <v>112</v>
      </c>
      <c r="C33" s="1" t="s">
        <v>113</v>
      </c>
      <c r="D33" s="7"/>
      <c r="E33" s="2" t="s">
        <v>114</v>
      </c>
      <c r="F33" s="1" t="s">
        <v>115</v>
      </c>
    </row>
    <row r="34" spans="2:10" ht="72.75">
      <c r="E34" s="9" t="s">
        <v>116</v>
      </c>
      <c r="F34" s="1" t="s">
        <v>117</v>
      </c>
    </row>
    <row r="35" spans="2:10" ht="57.75">
      <c r="E35" s="9" t="s">
        <v>118</v>
      </c>
      <c r="F35" s="1" t="s">
        <v>119</v>
      </c>
    </row>
    <row r="36" spans="2:10" ht="43.5">
      <c r="E36" s="9" t="s">
        <v>120</v>
      </c>
      <c r="F36" s="1" t="s">
        <v>121</v>
      </c>
    </row>
    <row r="37" spans="2:10" ht="274.5">
      <c r="E37" s="9" t="s">
        <v>122</v>
      </c>
      <c r="F37" s="1" t="s">
        <v>123</v>
      </c>
    </row>
    <row r="38" spans="2:10" ht="29.25">
      <c r="E38" s="9" t="s">
        <v>124</v>
      </c>
      <c r="F38" s="1" t="s">
        <v>125</v>
      </c>
    </row>
    <row r="39" spans="2:10" ht="72.75">
      <c r="E39" s="9" t="s">
        <v>126</v>
      </c>
      <c r="F39" s="1" t="s">
        <v>127</v>
      </c>
    </row>
    <row r="40" spans="2:10" ht="29.25">
      <c r="E40" s="9" t="s">
        <v>128</v>
      </c>
      <c r="F40" s="1" t="s">
        <v>129</v>
      </c>
    </row>
    <row r="41" spans="2:10" ht="72.75">
      <c r="B41" s="1" t="s">
        <v>130</v>
      </c>
      <c r="C41" s="1" t="s">
        <v>131</v>
      </c>
      <c r="E41" s="9" t="s">
        <v>132</v>
      </c>
      <c r="F41" s="1" t="s">
        <v>133</v>
      </c>
      <c r="G41" s="9" t="s">
        <v>134</v>
      </c>
      <c r="H41" s="1" t="s">
        <v>135</v>
      </c>
      <c r="I41" s="9" t="s">
        <v>136</v>
      </c>
      <c r="J41" s="1" t="s">
        <v>137</v>
      </c>
    </row>
    <row r="42" spans="2:10" ht="43.5">
      <c r="E42" s="9" t="s">
        <v>138</v>
      </c>
      <c r="F42" s="1" t="s">
        <v>139</v>
      </c>
    </row>
    <row r="43" spans="2:10" ht="57.75">
      <c r="E43" s="9" t="s">
        <v>140</v>
      </c>
      <c r="F43" s="1" t="s">
        <v>141</v>
      </c>
    </row>
    <row r="44" spans="2:10" ht="43.5">
      <c r="E44" s="9" t="s">
        <v>142</v>
      </c>
      <c r="F44" s="1" t="s">
        <v>143</v>
      </c>
    </row>
    <row r="45" spans="2:10" ht="72.75">
      <c r="E45" s="2" t="s">
        <v>144</v>
      </c>
      <c r="F45" s="1" t="s">
        <v>145</v>
      </c>
    </row>
    <row r="46" spans="2:10" ht="101.25">
      <c r="E46" s="9" t="s">
        <v>146</v>
      </c>
      <c r="F46" s="1" t="s">
        <v>147</v>
      </c>
    </row>
    <row r="47" spans="2:10" ht="43.5">
      <c r="E47" s="9" t="s">
        <v>148</v>
      </c>
      <c r="F47" s="1" t="s">
        <v>149</v>
      </c>
    </row>
    <row r="48" spans="2:10" ht="72.75">
      <c r="E48" s="9" t="s">
        <v>150</v>
      </c>
      <c r="F48" s="1" t="s">
        <v>151</v>
      </c>
    </row>
    <row r="49" spans="2:6" ht="57.75">
      <c r="E49" s="9" t="s">
        <v>152</v>
      </c>
      <c r="F49" s="1" t="s">
        <v>153</v>
      </c>
    </row>
    <row r="50" spans="2:6" ht="72.75">
      <c r="F50" s="1" t="s">
        <v>154</v>
      </c>
    </row>
    <row r="51" spans="2:6" ht="43.5">
      <c r="E51" s="9" t="s">
        <v>155</v>
      </c>
      <c r="F51" s="1" t="s">
        <v>156</v>
      </c>
    </row>
    <row r="52" spans="2:6" ht="43.5">
      <c r="E52" s="9" t="s">
        <v>157</v>
      </c>
      <c r="F52" s="1" t="s">
        <v>158</v>
      </c>
    </row>
    <row r="53" spans="2:6" ht="29.25">
      <c r="E53" s="9" t="s">
        <v>159</v>
      </c>
      <c r="F53" s="1" t="s">
        <v>160</v>
      </c>
    </row>
    <row r="54" spans="2:6" ht="43.5">
      <c r="E54" s="9" t="s">
        <v>146</v>
      </c>
      <c r="F54" s="1" t="s">
        <v>161</v>
      </c>
    </row>
    <row r="55" spans="2:6" ht="130.5">
      <c r="B55" s="1" t="s">
        <v>162</v>
      </c>
      <c r="C55" s="1" t="s">
        <v>163</v>
      </c>
      <c r="D55" s="1" t="s">
        <v>164</v>
      </c>
      <c r="F55" s="1" t="s">
        <v>165</v>
      </c>
    </row>
    <row r="56" spans="2:6" ht="144.75">
      <c r="E56" s="9" t="s">
        <v>166</v>
      </c>
      <c r="F56" s="1" t="s">
        <v>167</v>
      </c>
    </row>
    <row r="57" spans="2:6" ht="29.25">
      <c r="E57" s="9" t="s">
        <v>168</v>
      </c>
      <c r="F57" s="1" t="s">
        <v>169</v>
      </c>
    </row>
    <row r="58" spans="2:6" ht="29.25">
      <c r="B58" s="1" t="s">
        <v>170</v>
      </c>
      <c r="E58" s="9" t="s">
        <v>171</v>
      </c>
      <c r="F58" s="1" t="s">
        <v>172</v>
      </c>
    </row>
    <row r="59" spans="2:6" ht="115.5">
      <c r="B59" s="1" t="s">
        <v>173</v>
      </c>
      <c r="C59" s="1" t="s">
        <v>174</v>
      </c>
      <c r="E59" s="9" t="s">
        <v>175</v>
      </c>
      <c r="F59" s="1" t="s">
        <v>176</v>
      </c>
    </row>
    <row r="60" spans="2:6" ht="29.25">
      <c r="B60" s="1" t="s">
        <v>177</v>
      </c>
      <c r="C60" s="1" t="s">
        <v>178</v>
      </c>
      <c r="D60" s="1" t="s">
        <v>179</v>
      </c>
      <c r="E60" s="9" t="s">
        <v>180</v>
      </c>
      <c r="F60" s="1" t="s">
        <v>181</v>
      </c>
    </row>
    <row r="61" spans="2:6" ht="29.25">
      <c r="C61" s="1" t="s">
        <v>182</v>
      </c>
      <c r="E61" s="9" t="s">
        <v>183</v>
      </c>
      <c r="F61" s="1" t="s">
        <v>184</v>
      </c>
    </row>
    <row r="62" spans="2:6" ht="72.75">
      <c r="B62" s="1" t="s">
        <v>185</v>
      </c>
      <c r="C62" s="1" t="s">
        <v>186</v>
      </c>
      <c r="E62" s="9" t="s">
        <v>187</v>
      </c>
      <c r="F62" s="1" t="s">
        <v>188</v>
      </c>
    </row>
    <row r="63" spans="2:6" ht="29.25">
      <c r="B63" s="1" t="s">
        <v>189</v>
      </c>
      <c r="D63" s="1" t="s">
        <v>190</v>
      </c>
      <c r="E63" s="9" t="s">
        <v>191</v>
      </c>
    </row>
    <row r="64" spans="2:6" ht="29.25">
      <c r="C64" s="1" t="s">
        <v>182</v>
      </c>
      <c r="E64" s="9" t="s">
        <v>192</v>
      </c>
      <c r="F64" s="1" t="s">
        <v>193</v>
      </c>
    </row>
    <row r="65" spans="1:8" s="13" customFormat="1" ht="57.75">
      <c r="B65" s="13" t="s">
        <v>194</v>
      </c>
      <c r="C65" s="13" t="s">
        <v>195</v>
      </c>
      <c r="D65" s="13" t="s">
        <v>196</v>
      </c>
      <c r="E65" s="13" t="s">
        <v>197</v>
      </c>
      <c r="F65" s="13" t="s">
        <v>198</v>
      </c>
    </row>
    <row r="66" spans="1:8" ht="29.25">
      <c r="B66" s="1" t="s">
        <v>199</v>
      </c>
      <c r="E66" s="9" t="s">
        <v>200</v>
      </c>
    </row>
    <row r="67" spans="1:8" ht="29.25">
      <c r="B67" s="1" t="s">
        <v>201</v>
      </c>
      <c r="E67" s="9" t="s">
        <v>202</v>
      </c>
      <c r="F67" s="1" t="s">
        <v>203</v>
      </c>
    </row>
    <row r="68" spans="1:8" ht="29.25">
      <c r="C68" s="1" t="s">
        <v>204</v>
      </c>
      <c r="E68" s="9" t="s">
        <v>205</v>
      </c>
      <c r="F68" s="1" t="s">
        <v>206</v>
      </c>
    </row>
    <row r="69" spans="1:8" ht="43.5">
      <c r="E69" s="9" t="s">
        <v>207</v>
      </c>
      <c r="F69" s="1" t="s">
        <v>208</v>
      </c>
    </row>
    <row r="70" spans="1:8" ht="57.75">
      <c r="C70" s="1" t="s">
        <v>55</v>
      </c>
      <c r="E70" s="9" t="s">
        <v>209</v>
      </c>
      <c r="F70" s="1" t="s">
        <v>210</v>
      </c>
    </row>
    <row r="71" spans="1:8" ht="43.5">
      <c r="C71" s="1" t="s">
        <v>211</v>
      </c>
      <c r="E71" s="9" t="s">
        <v>212</v>
      </c>
      <c r="F71" s="1" t="s">
        <v>213</v>
      </c>
    </row>
    <row r="72" spans="1:8" ht="29.25">
      <c r="B72" s="1" t="s">
        <v>214</v>
      </c>
      <c r="C72" s="1" t="s">
        <v>215</v>
      </c>
      <c r="E72" s="9" t="s">
        <v>216</v>
      </c>
    </row>
    <row r="73" spans="1:8" ht="29.25">
      <c r="B73" s="1" t="s">
        <v>217</v>
      </c>
      <c r="C73" s="1" t="s">
        <v>215</v>
      </c>
      <c r="E73" s="9" t="s">
        <v>218</v>
      </c>
    </row>
    <row r="74" spans="1:8" ht="29.25">
      <c r="E74" s="9" t="s">
        <v>219</v>
      </c>
    </row>
    <row r="75" spans="1:8" ht="409.6">
      <c r="A75" s="1" t="s">
        <v>220</v>
      </c>
      <c r="B75" s="1" t="s">
        <v>221</v>
      </c>
      <c r="C75" s="1" t="s">
        <v>222</v>
      </c>
      <c r="D75" s="10"/>
      <c r="E75" s="11" t="s">
        <v>223</v>
      </c>
      <c r="G75" s="1" t="s">
        <v>224</v>
      </c>
      <c r="H75" s="1" t="s">
        <v>225</v>
      </c>
    </row>
    <row r="76" spans="1:8" ht="101.25">
      <c r="H76" s="1" t="s">
        <v>226</v>
      </c>
    </row>
    <row r="77" spans="1:8" ht="101.25">
      <c r="B77" s="1" t="s">
        <v>227</v>
      </c>
      <c r="C77" s="1" t="s">
        <v>228</v>
      </c>
      <c r="D77" s="7"/>
      <c r="E77" s="2" t="s">
        <v>229</v>
      </c>
      <c r="G77" s="1" t="s">
        <v>230</v>
      </c>
      <c r="H77" s="1" t="s">
        <v>231</v>
      </c>
    </row>
    <row r="78" spans="1:8" ht="57.75">
      <c r="B78" s="1" t="s">
        <v>232</v>
      </c>
      <c r="E78" s="9" t="s">
        <v>233</v>
      </c>
    </row>
    <row r="79" spans="1:8" ht="29.25">
      <c r="B79" s="1" t="s">
        <v>234</v>
      </c>
      <c r="D79" s="7"/>
      <c r="E79" s="2" t="s">
        <v>235</v>
      </c>
    </row>
    <row r="80" spans="1:8" ht="409.6">
      <c r="A80" s="1" t="s">
        <v>236</v>
      </c>
      <c r="B80" s="1" t="s">
        <v>237</v>
      </c>
      <c r="C80" s="1" t="s">
        <v>238</v>
      </c>
      <c r="D80" s="7"/>
      <c r="E80" s="2" t="s">
        <v>239</v>
      </c>
      <c r="F80" s="1" t="s">
        <v>240</v>
      </c>
      <c r="G80" s="1" t="s">
        <v>241</v>
      </c>
      <c r="H80" s="1" t="s">
        <v>242</v>
      </c>
    </row>
    <row r="81" spans="1:10" ht="115.5">
      <c r="B81" s="1" t="s">
        <v>243</v>
      </c>
      <c r="C81" s="1" t="s">
        <v>244</v>
      </c>
      <c r="D81" s="1" t="s">
        <v>245</v>
      </c>
      <c r="G81" s="1" t="s">
        <v>246</v>
      </c>
    </row>
    <row r="82" spans="1:10" ht="409.6">
      <c r="A82" s="1" t="s">
        <v>247</v>
      </c>
      <c r="B82" s="1" t="s">
        <v>248</v>
      </c>
      <c r="C82" s="1" t="s">
        <v>50</v>
      </c>
      <c r="D82" s="8" t="s">
        <v>51</v>
      </c>
      <c r="E82" s="9" t="s">
        <v>249</v>
      </c>
      <c r="F82" s="1" t="s">
        <v>250</v>
      </c>
      <c r="G82" s="1" t="s">
        <v>251</v>
      </c>
      <c r="H82" s="1" t="s">
        <v>252</v>
      </c>
      <c r="I82" s="1" t="s">
        <v>253</v>
      </c>
      <c r="J82" s="1">
        <v>32</v>
      </c>
    </row>
    <row r="83" spans="1:10" ht="57.75">
      <c r="B83" s="1" t="s">
        <v>254</v>
      </c>
      <c r="C83" s="1" t="s">
        <v>255</v>
      </c>
      <c r="D83" s="8"/>
      <c r="E83" s="9" t="s">
        <v>256</v>
      </c>
      <c r="G83" s="1" t="s">
        <v>257</v>
      </c>
    </row>
    <row r="84" spans="1:10" ht="130.5">
      <c r="A84" s="1" t="s">
        <v>258</v>
      </c>
      <c r="B84" s="1" t="s">
        <v>259</v>
      </c>
      <c r="D84" s="8"/>
      <c r="E84" s="9" t="s">
        <v>223</v>
      </c>
      <c r="H84" s="1" t="s">
        <v>260</v>
      </c>
    </row>
    <row r="85" spans="1:10" ht="318">
      <c r="A85" s="1" t="s">
        <v>261</v>
      </c>
      <c r="B85" s="1" t="s">
        <v>262</v>
      </c>
      <c r="D85" s="8"/>
      <c r="E85" s="9" t="s">
        <v>263</v>
      </c>
      <c r="H85" s="1" t="s">
        <v>264</v>
      </c>
    </row>
    <row r="86" spans="1:10" ht="29.25">
      <c r="B86" s="1" t="s">
        <v>265</v>
      </c>
      <c r="D86" s="8"/>
      <c r="E86" s="9" t="s">
        <v>266</v>
      </c>
      <c r="G86" s="1" t="s">
        <v>267</v>
      </c>
    </row>
    <row r="87" spans="1:10" ht="43.5">
      <c r="B87" s="1" t="s">
        <v>268</v>
      </c>
      <c r="D87" s="8"/>
      <c r="E87" s="9" t="s">
        <v>269</v>
      </c>
      <c r="G87" s="1" t="s">
        <v>270</v>
      </c>
    </row>
    <row r="88" spans="1:10" s="3" customFormat="1">
      <c r="B88" s="3" t="s">
        <v>271</v>
      </c>
    </row>
    <row r="89" spans="1:10" ht="43.5">
      <c r="C89" s="1" t="s">
        <v>272</v>
      </c>
      <c r="E89" s="9" t="s">
        <v>273</v>
      </c>
      <c r="F89" s="1" t="s">
        <v>274</v>
      </c>
    </row>
    <row r="90" spans="1:10" ht="43.5">
      <c r="C90" s="1" t="s">
        <v>272</v>
      </c>
      <c r="E90" s="9" t="s">
        <v>275</v>
      </c>
      <c r="F90" s="1" t="s">
        <v>276</v>
      </c>
    </row>
    <row r="91" spans="1:10" ht="29.25">
      <c r="C91" s="1" t="s">
        <v>272</v>
      </c>
      <c r="E91" s="9" t="s">
        <v>277</v>
      </c>
      <c r="F91" s="1" t="s">
        <v>278</v>
      </c>
    </row>
    <row r="92" spans="1:10" ht="43.5">
      <c r="C92" s="1" t="s">
        <v>272</v>
      </c>
      <c r="E92" s="9" t="s">
        <v>279</v>
      </c>
      <c r="F92" s="1" t="s">
        <v>280</v>
      </c>
    </row>
    <row r="93" spans="1:10" ht="87">
      <c r="B93" s="1" t="s">
        <v>281</v>
      </c>
      <c r="D93" s="9" t="s">
        <v>282</v>
      </c>
      <c r="E93" s="9" t="s">
        <v>283</v>
      </c>
      <c r="F93" s="9" t="s">
        <v>284</v>
      </c>
      <c r="G93" s="9" t="s">
        <v>285</v>
      </c>
      <c r="H93" s="9" t="s">
        <v>286</v>
      </c>
    </row>
    <row r="94" spans="1:10" ht="43.5">
      <c r="E94" s="9" t="s">
        <v>287</v>
      </c>
    </row>
    <row r="95" spans="1:10" ht="43.5">
      <c r="B95" s="1" t="s">
        <v>288</v>
      </c>
      <c r="C95" s="1" t="s">
        <v>80</v>
      </c>
      <c r="E95" s="9" t="s">
        <v>289</v>
      </c>
      <c r="F95" s="1" t="s">
        <v>290</v>
      </c>
    </row>
    <row r="96" spans="1:10" ht="72.75">
      <c r="B96" s="1" t="s">
        <v>291</v>
      </c>
      <c r="C96" s="1" t="s">
        <v>292</v>
      </c>
      <c r="E96" s="9" t="s">
        <v>293</v>
      </c>
      <c r="F96" s="1" t="s">
        <v>294</v>
      </c>
    </row>
    <row r="97" spans="1:10" ht="43.5">
      <c r="B97" s="1" t="s">
        <v>295</v>
      </c>
      <c r="C97" s="1" t="s">
        <v>86</v>
      </c>
      <c r="E97" s="9" t="s">
        <v>296</v>
      </c>
    </row>
    <row r="98" spans="1:10" ht="29.25">
      <c r="B98" s="1" t="s">
        <v>297</v>
      </c>
      <c r="C98" s="1" t="s">
        <v>298</v>
      </c>
      <c r="E98" s="9" t="s">
        <v>299</v>
      </c>
    </row>
    <row r="99" spans="1:10" ht="43.5">
      <c r="B99" s="1" t="s">
        <v>300</v>
      </c>
      <c r="C99" s="1" t="s">
        <v>272</v>
      </c>
      <c r="E99" s="9" t="s">
        <v>301</v>
      </c>
      <c r="G99" s="1" t="s">
        <v>302</v>
      </c>
    </row>
    <row r="100" spans="1:10" ht="43.5">
      <c r="E100" s="9" t="s">
        <v>303</v>
      </c>
      <c r="G100" s="1" t="s">
        <v>304</v>
      </c>
    </row>
    <row r="101" spans="1:10" ht="216.75">
      <c r="B101" s="1" t="s">
        <v>305</v>
      </c>
      <c r="C101" s="1" t="s">
        <v>306</v>
      </c>
      <c r="D101" s="7" t="s">
        <v>307</v>
      </c>
      <c r="E101" s="2" t="s">
        <v>308</v>
      </c>
      <c r="G101" s="1" t="s">
        <v>309</v>
      </c>
      <c r="H101" s="1" t="s">
        <v>310</v>
      </c>
      <c r="J101" s="1">
        <v>43</v>
      </c>
    </row>
    <row r="102" spans="1:10" ht="144.75">
      <c r="B102" s="1" t="s">
        <v>311</v>
      </c>
      <c r="C102" s="1" t="s">
        <v>312</v>
      </c>
      <c r="D102" s="7" t="s">
        <v>313</v>
      </c>
      <c r="E102" s="2" t="s">
        <v>314</v>
      </c>
      <c r="G102" s="1" t="s">
        <v>315</v>
      </c>
    </row>
    <row r="103" spans="1:10" ht="29.25">
      <c r="B103" s="1" t="s">
        <v>316</v>
      </c>
      <c r="C103" s="1" t="s">
        <v>317</v>
      </c>
      <c r="D103" s="7" t="s">
        <v>318</v>
      </c>
      <c r="E103" s="2" t="s">
        <v>319</v>
      </c>
      <c r="G103" s="1" t="s">
        <v>320</v>
      </c>
    </row>
    <row r="104" spans="1:10" ht="29.25">
      <c r="B104" s="1" t="s">
        <v>189</v>
      </c>
      <c r="C104" s="1" t="s">
        <v>321</v>
      </c>
      <c r="D104" s="7"/>
      <c r="E104" s="2" t="s">
        <v>191</v>
      </c>
      <c r="G104" s="1" t="s">
        <v>322</v>
      </c>
    </row>
    <row r="105" spans="1:10" s="5" customFormat="1">
      <c r="B105" s="5" t="s">
        <v>323</v>
      </c>
    </row>
    <row r="106" spans="1:10" ht="29.25">
      <c r="E106" s="9" t="s">
        <v>324</v>
      </c>
      <c r="F106" s="1" t="s">
        <v>325</v>
      </c>
    </row>
    <row r="107" spans="1:10" ht="29.25">
      <c r="E107" s="9" t="s">
        <v>326</v>
      </c>
      <c r="F107" s="1" t="s">
        <v>327</v>
      </c>
    </row>
    <row r="108" spans="1:10" s="13" customFormat="1" ht="29.25">
      <c r="E108" s="9" t="s">
        <v>328</v>
      </c>
      <c r="F108" s="13" t="s">
        <v>329</v>
      </c>
    </row>
    <row r="109" spans="1:10" ht="57.75">
      <c r="B109" s="1" t="s">
        <v>330</v>
      </c>
      <c r="C109" s="1" t="s">
        <v>222</v>
      </c>
      <c r="E109" s="1" t="s">
        <v>331</v>
      </c>
      <c r="G109" s="1" t="s">
        <v>332</v>
      </c>
    </row>
    <row r="110" spans="1:10" ht="43.5">
      <c r="A110" s="1" t="s">
        <v>333</v>
      </c>
      <c r="B110" s="1" t="s">
        <v>262</v>
      </c>
      <c r="C110" s="1" t="s">
        <v>222</v>
      </c>
      <c r="E110" s="9" t="s">
        <v>334</v>
      </c>
      <c r="G110" s="1" t="s">
        <v>335</v>
      </c>
    </row>
    <row r="111" spans="1:10" ht="29.25">
      <c r="B111" s="1" t="s">
        <v>336</v>
      </c>
      <c r="C111" s="1" t="s">
        <v>222</v>
      </c>
      <c r="D111" s="7"/>
      <c r="E111" s="2" t="s">
        <v>337</v>
      </c>
    </row>
    <row r="112" spans="1:10" ht="159">
      <c r="B112" s="1" t="s">
        <v>338</v>
      </c>
      <c r="C112" s="1" t="s">
        <v>339</v>
      </c>
      <c r="D112" s="7"/>
      <c r="E112" s="2"/>
      <c r="F112" s="1" t="s">
        <v>340</v>
      </c>
    </row>
    <row r="113" spans="1:10" ht="43.5">
      <c r="B113" s="1" t="s">
        <v>341</v>
      </c>
      <c r="C113" s="1" t="s">
        <v>342</v>
      </c>
      <c r="D113" s="1" t="s">
        <v>343</v>
      </c>
      <c r="E113" s="2" t="s">
        <v>344</v>
      </c>
      <c r="G113" s="1" t="s">
        <v>345</v>
      </c>
      <c r="J113" s="1">
        <v>43</v>
      </c>
    </row>
    <row r="114" spans="1:10" ht="87">
      <c r="A114" s="1" t="s">
        <v>346</v>
      </c>
      <c r="B114" s="1" t="s">
        <v>347</v>
      </c>
      <c r="C114" s="1" t="s">
        <v>348</v>
      </c>
      <c r="D114" s="2"/>
      <c r="E114" s="2" t="s">
        <v>349</v>
      </c>
      <c r="G114" s="1" t="s">
        <v>350</v>
      </c>
      <c r="J114" s="1">
        <v>7</v>
      </c>
    </row>
    <row r="115" spans="1:10" ht="87">
      <c r="B115" s="1" t="s">
        <v>351</v>
      </c>
      <c r="C115" s="1" t="s">
        <v>352</v>
      </c>
      <c r="D115" s="2"/>
      <c r="E115" s="2" t="s">
        <v>353</v>
      </c>
      <c r="G115" s="1" t="s">
        <v>354</v>
      </c>
    </row>
    <row r="116" spans="1:10" ht="72.75">
      <c r="B116" s="1" t="s">
        <v>355</v>
      </c>
      <c r="C116" s="1" t="s">
        <v>352</v>
      </c>
      <c r="D116" s="2"/>
      <c r="E116" s="2" t="s">
        <v>356</v>
      </c>
      <c r="F116" s="1" t="s">
        <v>357</v>
      </c>
    </row>
    <row r="117" spans="1:10" ht="57.75">
      <c r="D117" s="2"/>
      <c r="E117" s="2" t="s">
        <v>358</v>
      </c>
      <c r="F117" s="1" t="s">
        <v>359</v>
      </c>
    </row>
    <row r="118" spans="1:10" ht="43.5">
      <c r="D118" s="2"/>
      <c r="E118" s="2" t="s">
        <v>360</v>
      </c>
      <c r="F118" s="1" t="s">
        <v>361</v>
      </c>
    </row>
    <row r="119" spans="1:10" s="6" customFormat="1">
      <c r="B119" s="6" t="s">
        <v>362</v>
      </c>
    </row>
    <row r="120" spans="1:10" ht="57.75">
      <c r="B120" s="1" t="s">
        <v>363</v>
      </c>
      <c r="C120" s="1" t="s">
        <v>364</v>
      </c>
      <c r="D120" s="1" t="s">
        <v>365</v>
      </c>
      <c r="E120" s="2" t="s">
        <v>366</v>
      </c>
      <c r="G120" s="1" t="s">
        <v>367</v>
      </c>
    </row>
    <row r="121" spans="1:10" ht="29.25">
      <c r="B121" s="1" t="s">
        <v>368</v>
      </c>
      <c r="C121" s="1" t="s">
        <v>369</v>
      </c>
      <c r="D121" s="7"/>
      <c r="E121" s="2"/>
    </row>
    <row r="122" spans="1:10" ht="115.5">
      <c r="B122" s="1" t="s">
        <v>370</v>
      </c>
      <c r="C122" s="1" t="s">
        <v>371</v>
      </c>
      <c r="D122" s="1" t="s">
        <v>372</v>
      </c>
      <c r="E122" s="2" t="s">
        <v>373</v>
      </c>
      <c r="G122" s="1" t="s">
        <v>374</v>
      </c>
    </row>
  </sheetData>
  <hyperlinks>
    <hyperlink ref="E4" r:id="rId1" xr:uid="{17B6E66A-6328-4191-89DB-FEF59F2633F6}"/>
    <hyperlink ref="E6" r:id="rId2" xr:uid="{B7214ECF-866A-42A2-8DCB-E4900EB07F37}"/>
    <hyperlink ref="E113" r:id="rId3" xr:uid="{676BF457-038B-46BF-82EE-E3F732CD0BB2}"/>
    <hyperlink ref="E5" r:id="rId4" xr:uid="{339CEF7F-A60E-4C50-B01D-9218D19AEDC7}"/>
    <hyperlink ref="E7" r:id="rId5" xr:uid="{8E334EC6-06BA-4818-8B10-7CF002A3C1D0}"/>
    <hyperlink ref="E8" r:id="rId6" xr:uid="{B6FF0345-93ED-4771-99FC-BD7C42BB45D6}"/>
    <hyperlink ref="E9" r:id="rId7" xr:uid="{34F0B6C4-2054-414C-BFE0-CBC1E3873468}"/>
    <hyperlink ref="E10" r:id="rId8" xr:uid="{4930B43E-5144-45B5-89F8-F74A0974AF41}"/>
    <hyperlink ref="E11" r:id="rId9" xr:uid="{9583B456-31E0-4C1A-BED6-34AD202812B0}"/>
    <hyperlink ref="E12" r:id="rId10" xr:uid="{B1072E97-EFBB-49ED-83D5-7A7DC86A932C}"/>
    <hyperlink ref="D12" r:id="rId11" xr:uid="{E03E3CA3-8976-4B04-9006-364F20B98152}"/>
    <hyperlink ref="E114" r:id="rId12" xr:uid="{4C9062DD-79AE-4531-AADB-C528FAD93260}"/>
    <hyperlink ref="E82" r:id="rId13" xr:uid="{C792FFCF-70B9-49F6-9C90-AAF02BD1582A}"/>
    <hyperlink ref="E13" r:id="rId14" xr:uid="{EF230122-3813-4774-BD9A-530AD98B4876}"/>
    <hyperlink ref="E101" r:id="rId15" xr:uid="{D56D6FFC-3823-477F-8248-8813AAC8E6DE}"/>
    <hyperlink ref="E14" r:id="rId16" xr:uid="{531A7D31-A596-48D4-82A1-93C28E3DAB38}"/>
    <hyperlink ref="E15" r:id="rId17" xr:uid="{2D96CB7E-47A2-4D81-BF71-13E721D5CDB0}"/>
    <hyperlink ref="E102" r:id="rId18" xr:uid="{374B847C-3819-49CC-81B9-04EA239E59B6}"/>
    <hyperlink ref="E16" r:id="rId19" xr:uid="{E8E669E4-766E-4A90-A3FF-6D0E5DB018EE}"/>
    <hyperlink ref="E103" r:id="rId20" xr:uid="{C36CE86A-9AF6-4D55-B135-17583999BDAC}"/>
    <hyperlink ref="E120" r:id="rId21" xr:uid="{307FCD38-92CB-4627-A8BC-DA7876A14361}"/>
    <hyperlink ref="E80" r:id="rId22" xr:uid="{DA9EED6F-7693-45F4-AF25-EBE3224B132D}"/>
    <hyperlink ref="E111" r:id="rId23" xr:uid="{4E314713-C130-43C3-9B90-B37C5F06A592}"/>
    <hyperlink ref="E75" r:id="rId24" xr:uid="{C6D36344-B033-4865-8AA0-C2FE22FD8300}"/>
    <hyperlink ref="E77" r:id="rId25" xr:uid="{EE7A27B6-D87E-4640-A5F1-5D004ACCDA98}"/>
    <hyperlink ref="E79" r:id="rId26" xr:uid="{D3566FC2-F568-4826-890D-321812D5EDE4}"/>
    <hyperlink ref="E115" r:id="rId27" xr:uid="{2C7A862C-004D-4D4E-8D3C-E4E9D91A0ADB}"/>
    <hyperlink ref="E122" r:id="rId28" xr:uid="{602D3DC4-9077-4586-9576-FD381B8818BC}"/>
    <hyperlink ref="E78" r:id="rId29" xr:uid="{9E364676-F9D6-4830-8A97-83BA09372747}"/>
    <hyperlink ref="E83" r:id="rId30" xr:uid="{F16C7A82-CAA7-4134-AABC-4BCEF11EFF30}"/>
    <hyperlink ref="E100" r:id="rId31" xr:uid="{635DB69C-BE85-4184-836F-9AC333E43ACD}"/>
    <hyperlink ref="E99" r:id="rId32" xr:uid="{0D88D4A1-F6AA-4B86-9D87-C2E225BD5DF2}"/>
    <hyperlink ref="E84" r:id="rId33" xr:uid="{2369C78D-342A-4ABE-A3FD-68F3E2BA16DF}"/>
    <hyperlink ref="E110" r:id="rId34" xr:uid="{6F8307FF-9B75-4D2E-A1A0-43D5929D480F}"/>
    <hyperlink ref="E85" r:id="rId35" xr:uid="{B5A2AE02-A59F-46ED-A626-4B8040E51ADF}"/>
    <hyperlink ref="E97" r:id="rId36" xr:uid="{A7006FED-E6D2-4BA4-B47C-EBC87E0DC901}"/>
    <hyperlink ref="E98" r:id="rId37" xr:uid="{16F06515-4354-4158-B9A4-CE55E76380B8}"/>
    <hyperlink ref="E33" r:id="rId38" xr:uid="{F84CCB1B-17F7-4AEF-ACD3-F3007A9E141A}"/>
    <hyperlink ref="E86" r:id="rId39" xr:uid="{D03CEBAC-BB28-4749-B3AD-3D2EBA068A6C}"/>
    <hyperlink ref="E87" r:id="rId40" xr:uid="{F58BB6F4-8181-4501-889B-EA708A0D4499}"/>
    <hyperlink ref="E17" r:id="rId41" xr:uid="{980BFDB9-D815-494C-B573-5AD0BCF9B00E}"/>
    <hyperlink ref="E72" r:id="rId42" xr:uid="{7F844CFA-D376-4533-A058-40CBBD17428F}"/>
    <hyperlink ref="E73" r:id="rId43" xr:uid="{E50377B8-F80B-42B8-9A29-1C3FA0CD36D8}"/>
    <hyperlink ref="E18" r:id="rId44" xr:uid="{83FA2010-7D82-4003-B92F-A434B5557481}"/>
    <hyperlink ref="E71" r:id="rId45" xr:uid="{B1996736-F18B-4FFC-B7AE-FCC5370AC37A}"/>
    <hyperlink ref="E70" r:id="rId46" xr:uid="{58D4C1D6-39AF-4C5C-8572-4085D57CCBB0}"/>
    <hyperlink ref="E104" r:id="rId47" xr:uid="{61595E63-A450-4645-9B3C-6472E2A8DE18}"/>
    <hyperlink ref="E74" r:id="rId48" xr:uid="{6B9AF07B-D542-4C37-8BE6-4132F9E27623}"/>
    <hyperlink ref="E69" r:id="rId49" xr:uid="{6D2610E1-A8CE-4E9C-8A85-1D5C733F60AC}"/>
    <hyperlink ref="E108" r:id="rId50" xr:uid="{D8415292-D721-412E-886A-417EB631517A}"/>
    <hyperlink ref="E107" r:id="rId51" xr:uid="{0209BA66-79AD-4DE2-8852-170FA033043E}"/>
    <hyperlink ref="E95" r:id="rId52" xr:uid="{47EB486F-0408-4A21-80DF-40DE8D9707EF}"/>
    <hyperlink ref="E96" r:id="rId53" xr:uid="{0EC9AD74-1002-49C1-8268-3579E8593A71}"/>
    <hyperlink ref="E19" r:id="rId54" xr:uid="{1F0789B7-479F-4048-BF3D-E83771EE8C85}"/>
    <hyperlink ref="E116" r:id="rId55" xr:uid="{B322E173-934A-47C6-9F14-4A230E963C31}"/>
    <hyperlink ref="E66" r:id="rId56" xr:uid="{7B4BD030-E94D-4D17-A126-DDE72D93AEE4}"/>
    <hyperlink ref="E67" r:id="rId57" xr:uid="{20C0DCFD-4883-484E-BE50-A69507B477E5}"/>
    <hyperlink ref="E68" r:id="rId58" xr:uid="{AC8D902E-751F-4D9F-B4A4-3DF52D8E6D7E}"/>
    <hyperlink ref="E3" r:id="rId59" xr:uid="{9EE9DF75-28FB-47D9-A319-3DBADA603612}"/>
    <hyperlink ref="E64" r:id="rId60" xr:uid="{D134FE1F-1330-4073-AFC2-C8A27437A0C1}"/>
    <hyperlink ref="E63" r:id="rId61" xr:uid="{9D14B6CE-A1DA-4E5F-86E6-D943238277F7}"/>
    <hyperlink ref="E62" r:id="rId62" location=":~:text=We%20assess%20the%20contributions%20of%20the%20abatement,accounting%20for%2087%25%20($52)%20of%20the%20increase" xr:uid="{9116D783-BB9B-41A1-93A7-530F728A14A7}"/>
    <hyperlink ref="E61" r:id="rId63" xr:uid="{652A0095-101D-4EC7-81F2-C19D0F6E3D12}"/>
    <hyperlink ref="E21" r:id="rId64" xr:uid="{1D3D1953-2CD3-49F4-BC7D-74D67DB8C100}"/>
    <hyperlink ref="E60" r:id="rId65" xr:uid="{2158E7A8-B129-4A6C-9D23-CDFF44FE05A6}"/>
    <hyperlink ref="E59" r:id="rId66" display="https://explore.data.stats.govt.nz/vis?fs[0]=2023%20Census%2C0%7CIncome%23CAT_INCOME%23&amp;pg=20&amp;fc=Access%20to%20basic%20amenities&amp;bp=true&amp;snb=75&amp;df[ds]=ds-nsiws-disseminate&amp;df[id]=CEN23_DEP_010&amp;df[ag]=STATSNZ&amp;df[vs]=1.0&amp;dq=2023.9999%2B99999%2B999999.999..999..99&amp;to[TIME]=false" xr:uid="{65377906-1C27-4761-A9A7-CB507F221E42}"/>
    <hyperlink ref="E92" r:id="rId67" xr:uid="{A33ED4B4-67DD-41BA-A6B3-A2D5199CC622}"/>
    <hyperlink ref="E91" r:id="rId68" xr:uid="{A7E507D5-7D4B-4CB1-BFC1-AD3B8D318D83}"/>
    <hyperlink ref="E90" r:id="rId69" xr:uid="{5FBBC826-9FBF-4205-A7C0-5FFE841B4704}"/>
    <hyperlink ref="E89" r:id="rId70" xr:uid="{9F73EA4B-BFDA-4E17-A312-11DE72A19931}"/>
    <hyperlink ref="E26" r:id="rId71" display="https://tewaharoa.victoria.ac.nz/discovery/fulldisplay?docid=cdi_pubmed_primary_35929403&amp;context=PC&amp;vid=64VUW_INST:VUWNUI&amp;lang=en&amp;search_scope=MyInst_and_CI&amp;adaptor=Primo%20Central&amp;tab=all&amp;query=any,contains,%22politic*%22%20AND%20%22comm*%22%20AND%20%22tax%22%20AND%20%22reform%22%20AND%20%22public%22%20AND%20%22narrative%22&amp;offset=0" xr:uid="{C3FB5953-F3EC-4441-8629-1662A676DAAC}"/>
    <hyperlink ref="E94" r:id="rId72" xr:uid="{C18D122D-7732-46B3-A16F-613B446A1302}"/>
    <hyperlink ref="E58" r:id="rId73" xr:uid="{7CB3138C-AF21-4807-BC67-2ED88A5BFF3F}"/>
    <hyperlink ref="E93" r:id="rId74" xr:uid="{2593EBD9-C8F3-4DD5-83C1-B6774986D9BD}"/>
    <hyperlink ref="D93" r:id="rId75" xr:uid="{A17C5653-93A1-4732-B245-EFEBD9A34FB7}"/>
    <hyperlink ref="F93" r:id="rId76" xr:uid="{206D770E-4C5E-44DF-BDE7-390FC626D943}"/>
    <hyperlink ref="G93" r:id="rId77" xr:uid="{48F4B899-9E13-4B94-B553-A622A3075E6C}"/>
    <hyperlink ref="H93" r:id="rId78" xr:uid="{E48EF3D1-8294-4C70-97BD-9C512C47A3FF}"/>
    <hyperlink ref="E56" r:id="rId79" xr:uid="{2A20953C-EF9D-4ABC-A9FF-BD66C82F957F}"/>
    <hyperlink ref="E57" r:id="rId80" xr:uid="{9FD4A4DE-B2D1-4114-B3E9-8DF19F641D1A}"/>
    <hyperlink ref="E54" r:id="rId81" xr:uid="{3412732B-B82C-496E-8613-5AAB0931451E}"/>
    <hyperlink ref="E53" r:id="rId82" xr:uid="{6A0B74B1-376B-4B23-9750-D6B837B5E2CC}"/>
    <hyperlink ref="E52" r:id="rId83" xr:uid="{EEC07C6B-71B2-47E5-9EE0-32FCB435E118}"/>
    <hyperlink ref="E51" r:id="rId84" xr:uid="{FE52132C-2A83-4A33-B397-1D90C93C6F9C}"/>
    <hyperlink ref="E49" r:id="rId85" xr:uid="{62B29082-A402-4346-A559-A37A9A1CC0E4}"/>
    <hyperlink ref="E48" r:id="rId86" xr:uid="{A9F38385-9454-4D63-844F-96A3761D9EFF}"/>
    <hyperlink ref="E47" r:id="rId87" xr:uid="{07F0C938-003B-489D-A481-EC5460A14354}"/>
    <hyperlink ref="E46" r:id="rId88" xr:uid="{C745F001-8E6B-4739-968B-5E69D0413FB1}"/>
    <hyperlink ref="E45" r:id="rId89" xr:uid="{B456CEEC-F853-4584-9E41-E6A8ED728292}"/>
    <hyperlink ref="E44" r:id="rId90" xr:uid="{CF41AFF5-C1CD-4359-AD8F-72BEF18F3D13}"/>
    <hyperlink ref="E43" r:id="rId91" xr:uid="{E3939BF0-8C1B-4321-9FBC-F24B22791D62}"/>
    <hyperlink ref="E42" r:id="rId92" xr:uid="{B37538BE-B6EA-4539-9842-9AB214CC31B0}"/>
    <hyperlink ref="E41" r:id="rId93" xr:uid="{4959038E-0410-4550-9927-6FD8F179B1A0}"/>
    <hyperlink ref="G41" r:id="rId94" xr:uid="{D20C0D9F-D90E-4CAD-9DF1-B0DCB42FB836}"/>
    <hyperlink ref="I41" r:id="rId95" xr:uid="{1B99273F-F532-420E-A007-905C4720E89A}"/>
    <hyperlink ref="E40" r:id="rId96" xr:uid="{0561C0E3-90BB-40B4-BD39-CEEBD29B8360}"/>
    <hyperlink ref="E39" r:id="rId97" xr:uid="{FAABDDB1-D9A1-4811-B434-84B53274A1B2}"/>
    <hyperlink ref="E38" r:id="rId98" xr:uid="{EA9296F3-298B-448B-8E63-FA695541E942}"/>
    <hyperlink ref="E37" r:id="rId99" display="https://data-explorer.oecd.org/vis?tm=labour%20force%20participation%2065%2B&amp;pg=0&amp;snb=3&amp;df[ds]=dsDisseminateFinalDMZ&amp;df[id]=DSD_LFS%40DF_LFS_INDIC&amp;df[ag]=OECD.ELS.SAE&amp;df[vs]=1.1&amp;dq=AUS%2BAUT%2BBEL%2BCAN%2BCHL%2BCOL%2BCRI%2BCZE%2BDNK%2BEST%2BFIN%2BFRA%2BDEU%2BGRC%2BHUN%2BISL%2BIRL%2BISR%2BITA%2BJPN%2BKOR%2BLVA%2BLTU%2BLUX%2BMEX%2BNLD%2BNZL%2BNOR%2BPOL%2BPRT%2BSVK%2BSVN%2BESP%2BSWE%2BCHE%2BTUR%2BGBR%2BUSA%2BG7%2BEU27%2BEU19OECD%2BEU22OECD%2BOECD%2BOECD_REP%2BE%2BARG%2BBRA%2BBGR%2BHRV%2BCYP%2BIND%2BMLT%2BMKD%2BPER%2BROU%2BRUS%2BZAF.LF_RATE.PT_POP_SUB._T.Y_GE65.LF&amp;lom=LASTNPERIODS&amp;lo=5&amp;to[TIME_PERIOD]=false&amp;vw=tb" xr:uid="{DF3831C1-7469-4386-8395-EC439C8B45E1}"/>
    <hyperlink ref="E36" r:id="rId100" xr:uid="{2105095B-F59E-41D2-9068-7CE3A691F34C}"/>
    <hyperlink ref="E35" r:id="rId101" xr:uid="{C8529F0F-1F2D-420B-A0F3-8B0C52B5DA85}"/>
    <hyperlink ref="E34" r:id="rId102" xr:uid="{A9929E0B-028D-4716-A862-CEECD9F368CF}"/>
    <hyperlink ref="E32" r:id="rId103" location="some-history-of-the-nzsf" xr:uid="{B232FB4E-8748-4CF8-939C-8603719C47D5}"/>
    <hyperlink ref="E31" r:id="rId104" xr:uid="{67356219-8FF0-48E8-A514-D2FC8AE44799}"/>
    <hyperlink ref="E30" r:id="rId105" xr:uid="{0EA616E2-E367-473C-8D20-B245C9974EA0}"/>
    <hyperlink ref="E106" r:id="rId106" xr:uid="{107D21A8-C69D-4819-BA97-24C1E18AB2CB}"/>
    <hyperlink ref="E117" r:id="rId107" xr:uid="{BF78D129-C335-4A89-BDAA-487B0800B655}"/>
    <hyperlink ref="E118" r:id="rId108" xr:uid="{2F8A3846-D46B-4D0A-9B3A-62216B50E195}"/>
    <hyperlink ref="E29" r:id="rId109" xr:uid="{35043BAE-D542-4228-8CA3-90FED23581D1}"/>
    <hyperlink ref="E28" r:id="rId110" xr:uid="{5D5974A7-9854-472F-8DC9-C86DA0E33B4F}"/>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39D0D-035D-4177-8A39-4B6E2F11990C}">
  <dimension ref="A1:L40"/>
  <sheetViews>
    <sheetView topLeftCell="A25" workbookViewId="0">
      <selection activeCell="G30" sqref="G30"/>
    </sheetView>
  </sheetViews>
  <sheetFormatPr defaultRowHeight="15"/>
  <cols>
    <col min="1" max="1" width="27.42578125" bestFit="1" customWidth="1"/>
    <col min="2" max="2" width="20.7109375" customWidth="1"/>
    <col min="3" max="3" width="41.42578125" customWidth="1"/>
    <col min="4" max="4" width="22.140625" customWidth="1"/>
    <col min="5" max="5" width="25.28515625" customWidth="1"/>
    <col min="6" max="6" width="34" customWidth="1"/>
  </cols>
  <sheetData>
    <row r="1" spans="1:11">
      <c r="A1" s="14" t="s">
        <v>375</v>
      </c>
      <c r="B1" s="14" t="s">
        <v>376</v>
      </c>
      <c r="C1" s="14" t="s">
        <v>377</v>
      </c>
      <c r="D1" s="14" t="s">
        <v>378</v>
      </c>
    </row>
    <row r="2" spans="1:11">
      <c r="A2" t="s">
        <v>379</v>
      </c>
      <c r="B2" s="15">
        <f>'Population Projections'!C2</f>
        <v>3465800</v>
      </c>
      <c r="C2" t="s">
        <v>380</v>
      </c>
      <c r="D2" s="12"/>
    </row>
    <row r="3" spans="1:11">
      <c r="A3" t="s">
        <v>381</v>
      </c>
      <c r="B3" s="21">
        <f>'Population Projections'!B2</f>
        <v>902100</v>
      </c>
      <c r="C3" t="s">
        <v>382</v>
      </c>
      <c r="D3" s="12"/>
    </row>
    <row r="4" spans="1:11">
      <c r="A4" t="s">
        <v>383</v>
      </c>
      <c r="B4" s="23">
        <v>0.78100000000000003</v>
      </c>
      <c r="C4" t="s">
        <v>384</v>
      </c>
      <c r="D4" s="12" t="s">
        <v>385</v>
      </c>
      <c r="J4" t="s">
        <v>386</v>
      </c>
    </row>
    <row r="5" spans="1:11">
      <c r="A5" t="s">
        <v>387</v>
      </c>
      <c r="B5" s="23">
        <v>0.249</v>
      </c>
      <c r="C5" t="s">
        <v>388</v>
      </c>
      <c r="D5" s="12" t="s">
        <v>389</v>
      </c>
      <c r="K5" t="s">
        <v>390</v>
      </c>
    </row>
    <row r="6" spans="1:11">
      <c r="A6" t="s">
        <v>391</v>
      </c>
      <c r="B6" s="23">
        <f>B5*B3</f>
        <v>224622.9</v>
      </c>
      <c r="D6" s="12"/>
    </row>
    <row r="7" spans="1:11">
      <c r="A7" t="s">
        <v>392</v>
      </c>
      <c r="B7" s="20">
        <v>538.41999999999996</v>
      </c>
      <c r="C7" t="s">
        <v>393</v>
      </c>
      <c r="D7" s="12" t="s">
        <v>233</v>
      </c>
    </row>
    <row r="8" spans="1:11">
      <c r="A8" t="s">
        <v>394</v>
      </c>
      <c r="B8">
        <v>414.17</v>
      </c>
      <c r="C8" t="s">
        <v>395</v>
      </c>
      <c r="D8" s="12" t="s">
        <v>233</v>
      </c>
    </row>
    <row r="9" spans="1:11">
      <c r="A9" t="s">
        <v>396</v>
      </c>
      <c r="C9" t="s">
        <v>397</v>
      </c>
      <c r="D9" s="12" t="s">
        <v>180</v>
      </c>
    </row>
    <row r="10" spans="1:11">
      <c r="A10" t="s">
        <v>398</v>
      </c>
      <c r="B10" s="19">
        <v>2.5999999999999999E-2</v>
      </c>
      <c r="C10" t="s">
        <v>399</v>
      </c>
      <c r="D10" s="12" t="s">
        <v>183</v>
      </c>
    </row>
    <row r="11" spans="1:11">
      <c r="A11" t="s">
        <v>400</v>
      </c>
      <c r="B11" s="19">
        <v>3.6880000000000003E-2</v>
      </c>
      <c r="C11" t="s">
        <v>401</v>
      </c>
      <c r="D11" s="12" t="s">
        <v>192</v>
      </c>
    </row>
    <row r="12" spans="1:11">
      <c r="A12" t="s">
        <v>402</v>
      </c>
      <c r="B12" s="19">
        <f>(B11-B10) + 1</f>
        <v>1.01088</v>
      </c>
      <c r="D12" s="12"/>
    </row>
    <row r="13" spans="1:11">
      <c r="A13" t="s">
        <v>403</v>
      </c>
      <c r="B13" s="19">
        <v>0.57999999999999996</v>
      </c>
      <c r="D13" s="12" t="s">
        <v>404</v>
      </c>
    </row>
    <row r="14" spans="1:11">
      <c r="A14" t="s">
        <v>405</v>
      </c>
      <c r="B14" s="19">
        <v>0.42</v>
      </c>
      <c r="D14" s="12" t="s">
        <v>404</v>
      </c>
    </row>
    <row r="15" spans="1:11">
      <c r="A15" t="s">
        <v>406</v>
      </c>
      <c r="B15" s="19">
        <v>0.1</v>
      </c>
      <c r="D15" s="40" t="s">
        <v>407</v>
      </c>
    </row>
    <row r="16" spans="1:11">
      <c r="A16" t="s">
        <v>408</v>
      </c>
      <c r="B16" s="23">
        <v>873177</v>
      </c>
      <c r="D16" s="12" t="s">
        <v>409</v>
      </c>
    </row>
    <row r="18" spans="1:12" s="14" customFormat="1">
      <c r="A18" s="14" t="s">
        <v>410</v>
      </c>
      <c r="B18" s="14" t="s">
        <v>411</v>
      </c>
      <c r="C18" s="14" t="s">
        <v>412</v>
      </c>
      <c r="D18" s="14" t="s">
        <v>413</v>
      </c>
      <c r="E18" s="14" t="s">
        <v>414</v>
      </c>
      <c r="F18" s="14" t="s">
        <v>415</v>
      </c>
      <c r="G18" s="14" t="s">
        <v>416</v>
      </c>
      <c r="J18" s="16"/>
      <c r="K18"/>
      <c r="L18"/>
    </row>
    <row r="19" spans="1:12">
      <c r="A19">
        <v>1</v>
      </c>
      <c r="B19">
        <f>798.1*1000000</f>
        <v>798100000</v>
      </c>
      <c r="C19">
        <f>B19/$A$32</f>
        <v>2785.4657392251233</v>
      </c>
      <c r="D19">
        <f>'Revenue share calc'!E2</f>
        <v>3.6096393698449797E-3</v>
      </c>
      <c r="E19">
        <f>'Revenue share calc'!H2</f>
        <v>0</v>
      </c>
      <c r="F19">
        <f>G19/55</f>
        <v>0.18181818181818182</v>
      </c>
      <c r="G19">
        <v>10</v>
      </c>
      <c r="K19" s="16"/>
    </row>
    <row r="20" spans="1:12">
      <c r="A20">
        <v>2</v>
      </c>
      <c r="B20">
        <f>3618.3*1000000</f>
        <v>3618300000</v>
      </c>
      <c r="C20">
        <f t="shared" ref="C20:C28" si="0">B20/$A$32</f>
        <v>12628.305581052829</v>
      </c>
      <c r="D20">
        <f>'Revenue share calc'!E3</f>
        <v>1.4401036406566694E-2</v>
      </c>
      <c r="E20">
        <f>'Revenue share calc'!H3</f>
        <v>3.2866725984765288E-3</v>
      </c>
      <c r="F20">
        <f>G20/55</f>
        <v>0.16363636363636364</v>
      </c>
      <c r="G20">
        <v>9</v>
      </c>
      <c r="K20" s="16"/>
    </row>
    <row r="21" spans="1:12">
      <c r="A21">
        <v>3</v>
      </c>
      <c r="B21">
        <f>7546.1*1000000</f>
        <v>7546100000</v>
      </c>
      <c r="C21">
        <f t="shared" si="0"/>
        <v>26336.80367719171</v>
      </c>
      <c r="D21">
        <f>'Revenue share calc'!E4</f>
        <v>3.1399077404942015E-2</v>
      </c>
      <c r="E21">
        <f>'Revenue share calc'!H4</f>
        <v>1.0281717973370259E-2</v>
      </c>
      <c r="F21">
        <f>G21/55</f>
        <v>0.14545454545454545</v>
      </c>
      <c r="G21">
        <v>8</v>
      </c>
      <c r="K21" s="16"/>
    </row>
    <row r="22" spans="1:12">
      <c r="A22">
        <v>4</v>
      </c>
      <c r="B22">
        <f>11905.5*1000000</f>
        <v>11905500000</v>
      </c>
      <c r="C22">
        <f t="shared" si="0"/>
        <v>41551.638088390813</v>
      </c>
      <c r="D22">
        <f>'Revenue share calc'!E5</f>
        <v>5.1692242898110294E-2</v>
      </c>
      <c r="E22">
        <f>'Revenue share calc'!H5</f>
        <v>2.162865468378096E-2</v>
      </c>
      <c r="F22">
        <f>G22/55</f>
        <v>0.12727272727272726</v>
      </c>
      <c r="G22">
        <v>7</v>
      </c>
      <c r="K22" s="16"/>
    </row>
    <row r="23" spans="1:12">
      <c r="A23">
        <v>5</v>
      </c>
      <c r="B23">
        <f>15606.1*1000000</f>
        <v>15606100000</v>
      </c>
      <c r="C23">
        <f t="shared" si="0"/>
        <v>54467.180645183806</v>
      </c>
      <c r="D23">
        <f>'Revenue share calc'!E6</f>
        <v>7.0583126136746943E-2</v>
      </c>
      <c r="E23">
        <f>'Revenue share calc'!H6</f>
        <v>4.2527270739643942E-2</v>
      </c>
      <c r="F23">
        <f>G23/55</f>
        <v>0.10909090909090909</v>
      </c>
      <c r="G23">
        <v>6</v>
      </c>
      <c r="K23" s="16"/>
    </row>
    <row r="24" spans="1:12">
      <c r="A24" s="14">
        <v>6</v>
      </c>
      <c r="B24">
        <f>18610.5*1000000</f>
        <v>18610500000</v>
      </c>
      <c r="C24">
        <f t="shared" si="0"/>
        <v>64952.90081424528</v>
      </c>
      <c r="D24">
        <f>'Revenue share calc'!E7</f>
        <v>9.0905110853151228E-2</v>
      </c>
      <c r="E24">
        <f>'Revenue share calc'!H7</f>
        <v>6.7619180713536689E-2</v>
      </c>
      <c r="F24">
        <f>G24/55</f>
        <v>9.0909090909090912E-2</v>
      </c>
      <c r="G24">
        <v>5</v>
      </c>
      <c r="K24" s="16"/>
    </row>
    <row r="25" spans="1:12">
      <c r="A25">
        <v>7</v>
      </c>
      <c r="B25" s="23">
        <f>21785.7*1000000</f>
        <v>21785700000</v>
      </c>
      <c r="C25">
        <f t="shared" si="0"/>
        <v>76034.733686300926</v>
      </c>
      <c r="D25">
        <f>'Revenue share calc'!E8</f>
        <v>0.11035602414482847</v>
      </c>
      <c r="E25">
        <f>'Revenue share calc'!H8</f>
        <v>9.8944895708799885E-2</v>
      </c>
      <c r="F25">
        <f>G25/55</f>
        <v>7.2727272727272724E-2</v>
      </c>
      <c r="G25">
        <v>4</v>
      </c>
      <c r="K25" s="16"/>
    </row>
    <row r="26" spans="1:12">
      <c r="A26">
        <v>8</v>
      </c>
      <c r="B26" s="23">
        <f>25966.5*1000000</f>
        <v>25966500000</v>
      </c>
      <c r="C26">
        <f t="shared" si="0"/>
        <v>90626.232449052957</v>
      </c>
      <c r="D26">
        <f>'Revenue share calc'!E9</f>
        <v>0.13623161609900061</v>
      </c>
      <c r="E26">
        <f>'Revenue share calc'!H9</f>
        <v>0.14151958217119773</v>
      </c>
      <c r="F26">
        <f>G26/55</f>
        <v>5.4545454545454543E-2</v>
      </c>
      <c r="G26">
        <v>3</v>
      </c>
      <c r="K26" s="16"/>
    </row>
    <row r="27" spans="1:12">
      <c r="A27">
        <v>9</v>
      </c>
      <c r="B27" s="23">
        <f>32317.2*1000000</f>
        <v>32317200000</v>
      </c>
      <c r="C27">
        <f t="shared" si="0"/>
        <v>112790.94522952782</v>
      </c>
      <c r="D27">
        <f>'Revenue share calc'!E10</f>
        <v>0.17539672338276532</v>
      </c>
      <c r="E27">
        <f>'Revenue share calc'!H10</f>
        <v>0.20548666221606829</v>
      </c>
      <c r="F27">
        <f>G27/55</f>
        <v>3.6363636363636362E-2</v>
      </c>
      <c r="G27">
        <v>2</v>
      </c>
      <c r="K27" s="16"/>
    </row>
    <row r="28" spans="1:12">
      <c r="A28">
        <v>10</v>
      </c>
      <c r="B28" s="23">
        <f>56243*1000000</f>
        <v>56243000000</v>
      </c>
      <c r="C28">
        <f t="shared" si="0"/>
        <v>196294.88732143666</v>
      </c>
      <c r="D28">
        <f>'Revenue share calc'!E11</f>
        <v>0.31542540330404345</v>
      </c>
      <c r="E28">
        <f>'Revenue share calc'!H11</f>
        <v>0.40870536319512574</v>
      </c>
      <c r="F28">
        <f>G28/55</f>
        <v>1.8181818181818181E-2</v>
      </c>
      <c r="G28">
        <v>1</v>
      </c>
    </row>
    <row r="29" spans="1:12">
      <c r="A29" t="s">
        <v>417</v>
      </c>
      <c r="B29" s="16"/>
    </row>
    <row r="30" spans="1:12">
      <c r="A30" s="12" t="s">
        <v>142</v>
      </c>
    </row>
    <row r="31" spans="1:12">
      <c r="A31" t="s">
        <v>418</v>
      </c>
    </row>
    <row r="32" spans="1:12">
      <c r="A32">
        <v>286523</v>
      </c>
    </row>
    <row r="34" spans="1:6" s="14" customFormat="1">
      <c r="A34" s="14" t="s">
        <v>419</v>
      </c>
      <c r="B34" s="14" t="s">
        <v>420</v>
      </c>
      <c r="C34" s="14" t="s">
        <v>421</v>
      </c>
      <c r="D34" s="14" t="s">
        <v>406</v>
      </c>
      <c r="E34" s="14" t="s">
        <v>422</v>
      </c>
      <c r="F34" s="14" t="s">
        <v>423</v>
      </c>
    </row>
    <row r="35" spans="1:6">
      <c r="A35">
        <v>1</v>
      </c>
      <c r="B35">
        <v>-3546560</v>
      </c>
      <c r="C35">
        <v>0</v>
      </c>
      <c r="D35">
        <v>0</v>
      </c>
      <c r="E35">
        <v>1</v>
      </c>
      <c r="F35">
        <f>E35/15</f>
        <v>6.6666666666666666E-2</v>
      </c>
    </row>
    <row r="36" spans="1:6">
      <c r="A36">
        <v>2</v>
      </c>
      <c r="B36">
        <v>59384533</v>
      </c>
      <c r="C36" s="23">
        <f>B36-$B$16</f>
        <v>58511356</v>
      </c>
      <c r="D36">
        <f>C36*$B$15</f>
        <v>5851135.6000000006</v>
      </c>
      <c r="E36">
        <v>2</v>
      </c>
      <c r="F36">
        <f t="shared" ref="F36:F39" si="1">E36/15</f>
        <v>0.13333333333333333</v>
      </c>
    </row>
    <row r="37" spans="1:6">
      <c r="A37">
        <v>3</v>
      </c>
      <c r="B37">
        <v>213316981</v>
      </c>
      <c r="C37" s="23">
        <f t="shared" ref="C37:C39" si="2">B37-$B$16</f>
        <v>212443804</v>
      </c>
      <c r="D37">
        <f>C37*$B$15</f>
        <v>21244380.400000002</v>
      </c>
      <c r="E37">
        <v>3</v>
      </c>
      <c r="F37">
        <f t="shared" si="1"/>
        <v>0.2</v>
      </c>
    </row>
    <row r="38" spans="1:6">
      <c r="A38">
        <v>4</v>
      </c>
      <c r="B38">
        <v>426978284</v>
      </c>
      <c r="C38" s="23">
        <f t="shared" si="2"/>
        <v>426105107</v>
      </c>
      <c r="D38">
        <f>C38*$B$15</f>
        <v>42610510.700000003</v>
      </c>
      <c r="E38">
        <v>4</v>
      </c>
      <c r="F38">
        <f t="shared" si="1"/>
        <v>0.26666666666666666</v>
      </c>
    </row>
    <row r="39" spans="1:6">
      <c r="A39">
        <v>5</v>
      </c>
      <c r="B39">
        <v>1371364554</v>
      </c>
      <c r="C39" s="23">
        <f t="shared" si="2"/>
        <v>1370491377</v>
      </c>
      <c r="D39">
        <f>C39*$B$15</f>
        <v>137049137.70000002</v>
      </c>
      <c r="E39">
        <v>5</v>
      </c>
      <c r="F39">
        <f t="shared" si="1"/>
        <v>0.33333333333333331</v>
      </c>
    </row>
    <row r="40" spans="1:6">
      <c r="A40" s="14"/>
    </row>
  </sheetData>
  <hyperlinks>
    <hyperlink ref="D10" r:id="rId1" xr:uid="{B50A4D24-A67E-4E8A-B596-382D70B5FFC5}"/>
    <hyperlink ref="D11" r:id="rId2" xr:uid="{5902C25D-929E-4680-B8EA-CCC37D3C4FEB}"/>
    <hyperlink ref="D9" r:id="rId3" xr:uid="{0B00B1F4-28C5-449A-A056-EA7311ACBEB6}"/>
    <hyperlink ref="A30" r:id="rId4" xr:uid="{232E9307-8DD0-4660-9D58-D89909DCEFC6}"/>
    <hyperlink ref="D13" r:id="rId5" xr:uid="{974F36F9-78E2-48CC-A386-7A26866E45DA}"/>
    <hyperlink ref="D14" r:id="rId6" xr:uid="{00230932-E527-4AA8-8D63-A238FEFD4DD5}"/>
    <hyperlink ref="D4" r:id="rId7" xr:uid="{4421CFA1-EE25-4D62-9B16-FFD968C00BBA}"/>
    <hyperlink ref="D5" r:id="rId8" xr:uid="{9E499D59-79B2-428C-8D30-C2F7EA369258}"/>
    <hyperlink ref="D7" r:id="rId9" xr:uid="{2D403215-AB24-422F-B073-5201FF09BD7E}"/>
    <hyperlink ref="D8" r:id="rId10" xr:uid="{89F65267-00BA-4FA5-AD99-6C68C6C74F15}"/>
    <hyperlink ref="D16" r:id="rId11" xr:uid="{B2C7CC3F-92AA-4616-9F82-81C3D6C7B2B2}"/>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16251-5FB6-4001-AF6F-3B954C151760}">
  <dimension ref="A1:F8"/>
  <sheetViews>
    <sheetView workbookViewId="0">
      <selection activeCell="C11" sqref="C11"/>
    </sheetView>
  </sheetViews>
  <sheetFormatPr defaultRowHeight="15"/>
  <cols>
    <col min="2" max="3" width="9.85546875" bestFit="1" customWidth="1"/>
    <col min="4" max="4" width="36.140625" customWidth="1"/>
    <col min="5" max="5" width="35.5703125" customWidth="1"/>
  </cols>
  <sheetData>
    <row r="1" spans="1:6">
      <c r="A1" t="s">
        <v>424</v>
      </c>
      <c r="B1" t="s">
        <v>425</v>
      </c>
      <c r="C1" t="s">
        <v>426</v>
      </c>
      <c r="D1" t="s">
        <v>427</v>
      </c>
      <c r="E1" t="s">
        <v>428</v>
      </c>
    </row>
    <row r="2" spans="1:6">
      <c r="A2">
        <v>2025</v>
      </c>
      <c r="B2">
        <v>902100</v>
      </c>
      <c r="C2" s="15">
        <v>3465800</v>
      </c>
      <c r="D2">
        <v>1</v>
      </c>
      <c r="E2">
        <v>1</v>
      </c>
    </row>
    <row r="3" spans="1:6">
      <c r="A3">
        <v>2026</v>
      </c>
      <c r="B3" s="15">
        <v>932200</v>
      </c>
      <c r="C3" s="15">
        <v>3493500</v>
      </c>
      <c r="D3">
        <f>B3/B2</f>
        <v>1.0333665890699479</v>
      </c>
      <c r="E3">
        <f>C3/$C$2</f>
        <v>1.0079923827110624</v>
      </c>
    </row>
    <row r="4" spans="1:6">
      <c r="A4">
        <v>2040</v>
      </c>
      <c r="B4" s="15">
        <v>1287900</v>
      </c>
      <c r="C4" s="15">
        <v>3911000</v>
      </c>
      <c r="D4">
        <f>B4/B2</f>
        <v>1.4276687728633188</v>
      </c>
      <c r="E4">
        <f>C4/$C$2</f>
        <v>1.1284551907207572</v>
      </c>
    </row>
    <row r="5" spans="1:6">
      <c r="A5">
        <v>2060</v>
      </c>
      <c r="B5" s="15">
        <v>1776600</v>
      </c>
      <c r="C5" s="15">
        <v>4303300</v>
      </c>
      <c r="D5">
        <f>B5/B2</f>
        <v>1.9694047223145992</v>
      </c>
      <c r="E5">
        <f>C5/$C$2</f>
        <v>1.2416469501990883</v>
      </c>
      <c r="F5" s="15"/>
    </row>
    <row r="6" spans="1:6">
      <c r="A6">
        <v>2078</v>
      </c>
      <c r="B6">
        <v>1776600</v>
      </c>
      <c r="C6" s="15">
        <v>3465800</v>
      </c>
    </row>
    <row r="7" spans="1:6" s="12" customFormat="1">
      <c r="A7" s="12" t="s">
        <v>429</v>
      </c>
    </row>
    <row r="8" spans="1:6">
      <c r="A8" t="s">
        <v>430</v>
      </c>
    </row>
  </sheetData>
  <hyperlinks>
    <hyperlink ref="A7:XFD7" r:id="rId1" display="https://explore.data.stats.govt.nz/vis?fs[0]=Society%2C1%7CPopulation%20projections%23CAT_POPULATION_PROJECTIONS%23%7CNational%20population%20projections%23CAT_NATIONAL_POPULATION_PROJECTIONS%23&amp;pg=0&amp;fc=Society&amp;bp=true&amp;snb=9&amp;df[ds]=ds-nsiws-disseminate&amp;df[id]=POPPR_NAT_007&amp;df[ag]=STATSNZ&amp;df[vs]=1.0&amp;dq=.2025%2B2040%2B2060%2B2078.SEX3.AGE6500%2BAGE4064%2BAGE1539%2BTOTALALLAGES&amp;ly[rw]=YEAR_POPPR_NAT_007&amp;ly[cl]=SCENARIO_POPPR_NAT_007&amp;to[TIME]=false" xr:uid="{8F091FAA-BAA9-422D-AB1D-6B3131636A48}"/>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1E9CA2-7910-4C97-B4CE-6E2785FBDB9D}">
  <dimension ref="A1:AR27"/>
  <sheetViews>
    <sheetView tabSelected="1" topLeftCell="AG7" workbookViewId="0">
      <selection activeCell="AR16" sqref="AR16"/>
    </sheetView>
  </sheetViews>
  <sheetFormatPr defaultRowHeight="15"/>
  <cols>
    <col min="3" max="3" width="16" customWidth="1"/>
    <col min="4" max="4" width="27.42578125" bestFit="1" customWidth="1"/>
    <col min="5" max="5" width="26.85546875" customWidth="1"/>
    <col min="6" max="7" width="28.42578125" customWidth="1"/>
    <col min="8" max="8" width="28.42578125" style="28" customWidth="1"/>
    <col min="9" max="16" width="27.85546875" customWidth="1"/>
    <col min="17" max="17" width="27.85546875" style="28" customWidth="1"/>
    <col min="18" max="20" width="27.85546875" customWidth="1"/>
    <col min="21" max="24" width="31.85546875" customWidth="1"/>
    <col min="25" max="25" width="38.7109375" bestFit="1" customWidth="1"/>
    <col min="26" max="28" width="38.7109375" customWidth="1"/>
    <col min="29" max="29" width="11.5703125" customWidth="1"/>
    <col min="30" max="30" width="14.5703125" bestFit="1" customWidth="1"/>
    <col min="31" max="31" width="11.140625" customWidth="1"/>
    <col min="32" max="32" width="12" customWidth="1"/>
    <col min="33" max="33" width="16" bestFit="1" customWidth="1"/>
    <col min="34" max="34" width="14.5703125" bestFit="1" customWidth="1"/>
    <col min="35" max="35" width="11.140625" bestFit="1" customWidth="1"/>
    <col min="36" max="36" width="14.85546875" bestFit="1" customWidth="1"/>
    <col min="37" max="37" width="10.42578125" bestFit="1" customWidth="1"/>
    <col min="41" max="41" width="16" bestFit="1" customWidth="1"/>
    <col min="42" max="42" width="14.5703125" bestFit="1" customWidth="1"/>
    <col min="44" max="44" width="14.85546875" bestFit="1" customWidth="1"/>
  </cols>
  <sheetData>
    <row r="1" spans="1:44" s="14" customFormat="1">
      <c r="A1" s="14" t="s">
        <v>431</v>
      </c>
      <c r="B1" s="48" t="s">
        <v>424</v>
      </c>
      <c r="C1" s="48"/>
      <c r="D1" s="48" t="s">
        <v>432</v>
      </c>
      <c r="E1" s="48"/>
      <c r="F1" s="48"/>
      <c r="G1" s="48"/>
      <c r="H1" s="49"/>
      <c r="I1" s="30"/>
      <c r="J1" s="30"/>
      <c r="K1" s="30"/>
      <c r="L1" s="30"/>
      <c r="M1" s="30"/>
      <c r="N1" s="30"/>
      <c r="O1" s="48" t="s">
        <v>433</v>
      </c>
      <c r="P1" s="48"/>
      <c r="Q1" s="48"/>
      <c r="R1" s="48" t="s">
        <v>434</v>
      </c>
      <c r="S1" s="48"/>
      <c r="T1" s="48"/>
      <c r="U1" s="48" t="s">
        <v>435</v>
      </c>
      <c r="V1" s="48"/>
      <c r="W1" s="14" t="s">
        <v>436</v>
      </c>
      <c r="X1" s="30" t="s">
        <v>437</v>
      </c>
      <c r="Y1" s="48" t="s">
        <v>438</v>
      </c>
      <c r="Z1" s="48"/>
      <c r="AA1" s="14" t="s">
        <v>439</v>
      </c>
      <c r="AC1" s="48" t="s">
        <v>440</v>
      </c>
      <c r="AD1" s="48"/>
      <c r="AE1" s="48"/>
      <c r="AF1" s="48"/>
      <c r="AG1" s="48" t="s">
        <v>441</v>
      </c>
      <c r="AH1" s="48"/>
      <c r="AI1" s="48"/>
      <c r="AJ1" s="48"/>
      <c r="AK1" s="48" t="s">
        <v>442</v>
      </c>
      <c r="AL1" s="48"/>
      <c r="AM1" s="48"/>
      <c r="AN1" s="48"/>
      <c r="AO1" s="48" t="s">
        <v>443</v>
      </c>
      <c r="AP1" s="48"/>
      <c r="AQ1" s="48"/>
      <c r="AR1" s="48"/>
    </row>
    <row r="2" spans="1:44" s="24" customFormat="1">
      <c r="B2" s="24" t="s">
        <v>424</v>
      </c>
      <c r="C2" s="24" t="s">
        <v>444</v>
      </c>
      <c r="D2" s="24" t="s">
        <v>445</v>
      </c>
      <c r="E2" s="24" t="s">
        <v>446</v>
      </c>
      <c r="F2" s="24" t="s">
        <v>447</v>
      </c>
      <c r="G2" s="24" t="s">
        <v>448</v>
      </c>
      <c r="H2" s="26" t="s">
        <v>449</v>
      </c>
      <c r="I2" s="24" t="s">
        <v>450</v>
      </c>
      <c r="J2" s="24" t="s">
        <v>451</v>
      </c>
      <c r="K2" s="24" t="s">
        <v>452</v>
      </c>
      <c r="L2" s="24" t="s">
        <v>453</v>
      </c>
      <c r="M2" s="24" t="s">
        <v>454</v>
      </c>
      <c r="N2" s="26" t="s">
        <v>455</v>
      </c>
      <c r="O2" s="24" t="s">
        <v>456</v>
      </c>
      <c r="P2" s="24" t="s">
        <v>457</v>
      </c>
      <c r="Q2" s="26" t="s">
        <v>458</v>
      </c>
      <c r="R2" s="24" t="s">
        <v>456</v>
      </c>
      <c r="S2" s="24" t="s">
        <v>457</v>
      </c>
      <c r="T2" s="24" t="s">
        <v>458</v>
      </c>
      <c r="U2" s="24" t="s">
        <v>459</v>
      </c>
      <c r="V2" s="24" t="s">
        <v>460</v>
      </c>
      <c r="W2" s="24" t="s">
        <v>461</v>
      </c>
      <c r="X2" s="24" t="s">
        <v>461</v>
      </c>
      <c r="Y2" s="24" t="s">
        <v>462</v>
      </c>
      <c r="Z2" s="24" t="s">
        <v>463</v>
      </c>
      <c r="AA2" s="24" t="s">
        <v>462</v>
      </c>
      <c r="AB2" s="24" t="s">
        <v>463</v>
      </c>
      <c r="AC2" s="32" t="s">
        <v>464</v>
      </c>
      <c r="AD2" s="24" t="s">
        <v>465</v>
      </c>
      <c r="AE2" s="24" t="s">
        <v>466</v>
      </c>
      <c r="AF2" s="24" t="s">
        <v>467</v>
      </c>
      <c r="AG2" s="24" t="s">
        <v>464</v>
      </c>
      <c r="AH2" s="24" t="s">
        <v>465</v>
      </c>
      <c r="AI2" s="24" t="s">
        <v>466</v>
      </c>
      <c r="AJ2" s="24" t="s">
        <v>467</v>
      </c>
      <c r="AK2" s="32" t="s">
        <v>464</v>
      </c>
      <c r="AL2" s="24" t="s">
        <v>465</v>
      </c>
      <c r="AM2" s="24" t="s">
        <v>466</v>
      </c>
      <c r="AN2" s="24" t="s">
        <v>467</v>
      </c>
      <c r="AO2" s="24" t="s">
        <v>464</v>
      </c>
      <c r="AP2" s="24" t="s">
        <v>465</v>
      </c>
      <c r="AQ2" s="24" t="s">
        <v>466</v>
      </c>
      <c r="AR2" s="24" t="s">
        <v>467</v>
      </c>
    </row>
    <row r="3" spans="1:44">
      <c r="A3" t="s">
        <v>468</v>
      </c>
      <c r="B3">
        <v>2026</v>
      </c>
      <c r="C3">
        <v>1</v>
      </c>
      <c r="D3" s="20">
        <f>Parameters!$B$7</f>
        <v>538.41999999999996</v>
      </c>
      <c r="E3">
        <f>Parameters!$B$8</f>
        <v>414.17</v>
      </c>
      <c r="F3" s="19">
        <f>Parameters!$B$12</f>
        <v>1.01088</v>
      </c>
      <c r="G3" s="20">
        <f>D3*POWER(F3,C3)</f>
        <v>544.2780095999999</v>
      </c>
      <c r="H3" s="27">
        <f>E3*POWER(F3,C3)</f>
        <v>418.67616960000004</v>
      </c>
      <c r="I3" s="23">
        <f>Parameters!B3*'Population Projections'!D3</f>
        <v>932200</v>
      </c>
      <c r="J3" s="23">
        <f>I3*Parameters!$B$14</f>
        <v>391524</v>
      </c>
      <c r="K3" s="23">
        <f>I3*Parameters!$B$13</f>
        <v>540676</v>
      </c>
      <c r="L3" s="23">
        <f>J3*G3</f>
        <v>213097903.43063036</v>
      </c>
      <c r="M3" s="23">
        <f>K3*H3</f>
        <v>226368156.67464963</v>
      </c>
      <c r="N3" s="29">
        <f>M3+L3</f>
        <v>439466060.10527998</v>
      </c>
      <c r="T3" s="20">
        <f>SUM(T4:T13)</f>
        <v>439466060.10527992</v>
      </c>
      <c r="U3" s="20">
        <f>SUM(U4:U8)</f>
        <v>209004660.58867204</v>
      </c>
      <c r="V3" s="20">
        <f>SUM(V4:V8)</f>
        <v>439466060.10527998</v>
      </c>
      <c r="W3" s="20">
        <f>U3+V3-Q3</f>
        <v>648470720.69395208</v>
      </c>
      <c r="X3" s="20">
        <f>U3+V3-T3</f>
        <v>209004660.58867216</v>
      </c>
      <c r="Y3" t="str">
        <f>Parameters!C9</f>
        <v>u = (y^(-0.26) -1)/-0.26</v>
      </c>
      <c r="AC3" s="33">
        <f>SUM(Y4:Y13)</f>
        <v>15.233206491949085</v>
      </c>
      <c r="AE3">
        <f>SUM(_xlfn.ANCHORARRAY(AD4))</f>
        <v>7.8059471911405396</v>
      </c>
      <c r="AF3" s="23">
        <f>MIN(Y4:Y13)</f>
        <v>3.8021338712189365</v>
      </c>
      <c r="AG3" s="38">
        <f>SUM(AA4:AA13)</f>
        <v>15.23738681240436</v>
      </c>
      <c r="AI3">
        <f>SUM(AH4:AH13)</f>
        <v>7.807017838547627</v>
      </c>
      <c r="AJ3" s="38">
        <f>MIN(AA4:AA13)</f>
        <v>3.8021338712189365</v>
      </c>
      <c r="AK3" s="33">
        <f>SUM(Z4:Z7)</f>
        <v>30.90629751743835</v>
      </c>
      <c r="AM3">
        <f>SUM(AL4:AL7)</f>
        <v>11.118106084817494</v>
      </c>
      <c r="AN3" s="23">
        <f>MIN(Z4:Z7)</f>
        <v>7.4668340811546576</v>
      </c>
      <c r="AO3" s="38">
        <f>SUM(AB4:AB7)</f>
        <v>31.106545102654657</v>
      </c>
      <c r="AQ3">
        <f>SUM(AP4:AP7)</f>
        <v>11.118106084817494</v>
      </c>
      <c r="AR3" s="38">
        <f>MIN(AB4:AB7)</f>
        <v>7.4668340811546576</v>
      </c>
    </row>
    <row r="4" spans="1:44">
      <c r="A4">
        <v>1</v>
      </c>
      <c r="D4" s="20"/>
      <c r="F4" s="19"/>
      <c r="G4" s="20"/>
      <c r="H4" s="27"/>
      <c r="I4" s="23"/>
      <c r="J4" s="23"/>
      <c r="K4" s="23"/>
      <c r="L4" s="23"/>
      <c r="M4" s="23"/>
      <c r="N4" s="23"/>
      <c r="O4" s="31">
        <f>'Revenue share calc'!E18</f>
        <v>0</v>
      </c>
      <c r="P4" s="31">
        <v>0</v>
      </c>
      <c r="Q4" s="27">
        <f>$N$3*O4</f>
        <v>0</v>
      </c>
      <c r="R4" s="23">
        <f>'Revenue share calc'!H18</f>
        <v>0</v>
      </c>
      <c r="S4" s="23"/>
      <c r="T4" s="20">
        <f>$N$3*R4</f>
        <v>0</v>
      </c>
      <c r="U4" s="20">
        <f>Parameters!D35*Parameters!$B$12</f>
        <v>0</v>
      </c>
      <c r="V4" s="20">
        <f>$N$3*Parameters!F35</f>
        <v>29297737.340351999</v>
      </c>
      <c r="W4" s="20">
        <f>U4+V4-Q4</f>
        <v>29297737.340351999</v>
      </c>
      <c r="X4" s="44">
        <f>U4+V4-T4</f>
        <v>29297737.340351999</v>
      </c>
      <c r="Y4" s="34">
        <f>(POWER(W4, -0.26) - 1)/-0.26</f>
        <v>3.8021338712189365</v>
      </c>
      <c r="Z4" s="34">
        <f>LOG(W4)</f>
        <v>7.4668340811546576</v>
      </c>
      <c r="AA4" s="38">
        <f>(POWER(X4, -0.26) - 1)/-0.26</f>
        <v>3.8021338712189365</v>
      </c>
      <c r="AB4" s="38">
        <f>LOG(X4)</f>
        <v>7.4668340811546576</v>
      </c>
      <c r="AD4" cm="1">
        <f t="array" ref="AD4:AD7">SQRT(Y4:Y7)</f>
        <v>1.9499061185654392</v>
      </c>
      <c r="AH4" cm="1">
        <f t="array" ref="AH4:AH7">SQRT(AA4:AA7)</f>
        <v>1.9499061185654392</v>
      </c>
      <c r="AL4">
        <f>SQRT(Z4)</f>
        <v>2.7325508377987515</v>
      </c>
      <c r="AP4">
        <f>SQRT(Z4)</f>
        <v>2.7325508377987515</v>
      </c>
    </row>
    <row r="5" spans="1:44">
      <c r="A5">
        <v>2</v>
      </c>
      <c r="D5" s="20"/>
      <c r="F5" s="19"/>
      <c r="G5" s="20"/>
      <c r="H5" s="27"/>
      <c r="I5" s="23"/>
      <c r="J5" s="23"/>
      <c r="K5" s="23"/>
      <c r="L5" s="23"/>
      <c r="M5" s="23"/>
      <c r="N5" s="23"/>
      <c r="O5" s="31">
        <f>'Revenue share calc'!E19</f>
        <v>2.2599597321422193E-2</v>
      </c>
      <c r="P5" s="31">
        <f>(O5*$N$3)/Parameters!D36</f>
        <v>1.697406567506528</v>
      </c>
      <c r="Q5" s="27">
        <f>P5*Parameters!D36</f>
        <v>9931755.9948112499</v>
      </c>
      <c r="R5" s="23">
        <f>'Revenue share calc'!H19</f>
        <v>7.6027074728460507E-3</v>
      </c>
      <c r="S5" s="23">
        <f>(R5*$N$3)/Parameters!D36</f>
        <v>0.57102281123421972</v>
      </c>
      <c r="T5" s="20">
        <f>S5*Parameters!D36</f>
        <v>3341131.8992246231</v>
      </c>
      <c r="U5" s="20">
        <f>Parameters!D36*Parameters!$B$12</f>
        <v>5914795.9553280007</v>
      </c>
      <c r="V5" s="20">
        <f>$N$3*Parameters!F36</f>
        <v>58595474.680703998</v>
      </c>
      <c r="W5" s="20">
        <f>U5+V5-Q5</f>
        <v>54578514.641220748</v>
      </c>
      <c r="X5" s="20">
        <f>U5+V5-T5</f>
        <v>61169138.736807376</v>
      </c>
      <c r="Y5" s="34">
        <f>(POWER(W5, -0.26) - 1)/-0.26</f>
        <v>3.8087082277809237</v>
      </c>
      <c r="Z5" s="34">
        <f t="shared" ref="Z5:Z7" si="0">LOG(W5)</f>
        <v>7.7370217121345481</v>
      </c>
      <c r="AA5" s="35">
        <f t="shared" ref="AA5:AA13" si="1">(POWER(X5, -0.26) - 1)/-0.26</f>
        <v>3.8098018522422703</v>
      </c>
      <c r="AB5" s="38">
        <f t="shared" ref="AB5:AB7" si="2">LOG(X5)</f>
        <v>7.7865323656623397</v>
      </c>
      <c r="AD5">
        <v>1.9515912040642436</v>
      </c>
      <c r="AH5">
        <v>1.9518713718486345</v>
      </c>
      <c r="AL5">
        <f t="shared" ref="AL5:AL7" si="3">SQRT(Z5)</f>
        <v>2.7815502354145156</v>
      </c>
      <c r="AP5">
        <f t="shared" ref="AP5:AP7" si="4">SQRT(Z5)</f>
        <v>2.7815502354145156</v>
      </c>
    </row>
    <row r="6" spans="1:44">
      <c r="A6">
        <v>3</v>
      </c>
      <c r="D6" s="20"/>
      <c r="F6" s="19"/>
      <c r="G6" s="20"/>
      <c r="H6" s="27"/>
      <c r="I6" s="23"/>
      <c r="J6" s="23"/>
      <c r="K6" s="23"/>
      <c r="L6" s="23"/>
      <c r="M6" s="23"/>
      <c r="N6" s="23"/>
      <c r="O6" s="31">
        <f>'Revenue share calc'!E20</f>
        <v>9.0784162802850815E-2</v>
      </c>
      <c r="P6" s="31">
        <f>(O6*$N$3)/Parameters!D37</f>
        <v>1.877981734262542</v>
      </c>
      <c r="Q6" s="27">
        <f>P6*Parameters!D37</f>
        <v>39896558.346925162</v>
      </c>
      <c r="R6" s="23">
        <f>'Revenue share calc'!H20</f>
        <v>5.5208021370437628E-2</v>
      </c>
      <c r="S6" s="23">
        <f>(R6*$N$3)/Parameters!D37</f>
        <v>1.1420456224684397</v>
      </c>
      <c r="T6" s="20">
        <f>S6*Parameters!D37</f>
        <v>24262051.63787432</v>
      </c>
      <c r="U6" s="20">
        <f>Parameters!D37*Parameters!$B$12</f>
        <v>21475519.258752003</v>
      </c>
      <c r="V6" s="20">
        <f>$N$3*Parameters!F37</f>
        <v>87893212.021055996</v>
      </c>
      <c r="W6" s="20">
        <f>U6+V6-Q6</f>
        <v>69472172.932882845</v>
      </c>
      <c r="X6" s="20">
        <f>U6+V6-T6</f>
        <v>85106679.64193368</v>
      </c>
      <c r="Y6" s="36">
        <f>(POWER(W6, -0.26) - 1)/-0.26</f>
        <v>3.8109851860410275</v>
      </c>
      <c r="Z6" s="34">
        <f t="shared" si="0"/>
        <v>7.8418108828386872</v>
      </c>
      <c r="AA6" s="37">
        <f t="shared" si="1"/>
        <v>3.8127930732570419</v>
      </c>
      <c r="AB6" s="38">
        <f t="shared" si="2"/>
        <v>7.9299636472501502</v>
      </c>
      <c r="AD6">
        <v>1.9521744763317206</v>
      </c>
      <c r="AH6">
        <v>1.9526374659052923</v>
      </c>
      <c r="AL6">
        <f t="shared" si="3"/>
        <v>2.8003233532645275</v>
      </c>
      <c r="AP6">
        <f t="shared" si="4"/>
        <v>2.8003233532645275</v>
      </c>
    </row>
    <row r="7" spans="1:44">
      <c r="A7">
        <v>4</v>
      </c>
      <c r="D7" s="20"/>
      <c r="F7" s="19"/>
      <c r="G7" s="20"/>
      <c r="H7" s="20"/>
      <c r="I7" s="23"/>
      <c r="J7" s="23"/>
      <c r="K7" s="23"/>
      <c r="L7" s="23"/>
      <c r="M7" s="23"/>
      <c r="N7" s="23"/>
      <c r="O7" s="31">
        <f>'Revenue share calc'!E21</f>
        <v>0.19959712209947778</v>
      </c>
      <c r="P7" s="31">
        <f>(O7*$N$3)/Parameters!D38</f>
        <v>2.0585569010185556</v>
      </c>
      <c r="Q7" s="27">
        <f>P7*Parameters!D38</f>
        <v>87716160.857410014</v>
      </c>
      <c r="R7" s="23">
        <f>'Revenue share calc'!H21</f>
        <v>0.17400811314680978</v>
      </c>
      <c r="S7" s="23">
        <f>(R7*$N$3)/Parameters!D38</f>
        <v>1.7946431210218341</v>
      </c>
      <c r="T7" s="20">
        <f>S7*Parameters!D38</f>
        <v>76470659.910982266</v>
      </c>
      <c r="U7" s="20">
        <f>Parameters!D38*Parameters!$B$12</f>
        <v>43074113.056416005</v>
      </c>
      <c r="V7" s="20">
        <f>$N$3*Parameters!F38</f>
        <v>117190949.361408</v>
      </c>
      <c r="W7" s="20">
        <f>U7+V7-Q7</f>
        <v>72548901.560413986</v>
      </c>
      <c r="X7" s="20">
        <f>U7+V7-T7</f>
        <v>83794402.506841734</v>
      </c>
      <c r="Y7" s="37">
        <f>(POWER(W7, -0.26) - 1)/-0.26</f>
        <v>3.8113792069081982</v>
      </c>
      <c r="Z7" s="34">
        <f t="shared" si="0"/>
        <v>7.8606308413104564</v>
      </c>
      <c r="AA7" s="25">
        <f t="shared" si="1"/>
        <v>3.8126580156861114</v>
      </c>
      <c r="AB7" s="38">
        <f t="shared" si="2"/>
        <v>7.9232150085875102</v>
      </c>
      <c r="AD7">
        <v>1.9522753921791358</v>
      </c>
      <c r="AH7">
        <v>1.9526028822282608</v>
      </c>
      <c r="AL7">
        <f t="shared" si="3"/>
        <v>2.8036816583397011</v>
      </c>
      <c r="AP7">
        <f t="shared" si="4"/>
        <v>2.8036816583397011</v>
      </c>
    </row>
    <row r="8" spans="1:44">
      <c r="A8">
        <v>5</v>
      </c>
      <c r="D8" s="20"/>
      <c r="E8" s="19"/>
      <c r="F8" s="20"/>
      <c r="G8" s="20"/>
      <c r="H8" s="27"/>
      <c r="I8" s="20"/>
      <c r="J8" s="20"/>
      <c r="K8" s="20"/>
      <c r="L8" s="20"/>
      <c r="M8" s="20"/>
      <c r="N8" s="20"/>
      <c r="O8" s="31">
        <f>'Revenue share calc'!E22</f>
        <v>0.68701911777624924</v>
      </c>
      <c r="P8" s="31">
        <f>(O8*$N$3)/Parameters!D39</f>
        <v>2.2030170344233664</v>
      </c>
      <c r="Q8" s="27">
        <f>P8*Parameters!D39</f>
        <v>301921584.90613359</v>
      </c>
      <c r="R8" s="23">
        <f>'Revenue share calc'!H22</f>
        <v>0.76318115800990649</v>
      </c>
      <c r="S8" s="23">
        <f>(R8*$N$3)/Parameters!D39</f>
        <v>2.4472406195752274</v>
      </c>
      <c r="T8" s="20">
        <f>S8*Parameters!D39</f>
        <v>335392216.65719873</v>
      </c>
      <c r="U8" s="20">
        <f>Parameters!D39*Parameters!$B$12</f>
        <v>138540232.31817603</v>
      </c>
      <c r="V8" s="20">
        <f>$N$3*Parameters!F39</f>
        <v>146488686.70175999</v>
      </c>
      <c r="W8" s="20">
        <f>U8+V8-Q8</f>
        <v>-16892665.886197567</v>
      </c>
      <c r="X8" s="20">
        <f>U8+V8-T8</f>
        <v>-50363297.637262702</v>
      </c>
      <c r="Y8" s="23"/>
      <c r="Z8" s="23"/>
      <c r="AA8" s="23"/>
      <c r="AB8" s="23"/>
    </row>
    <row r="9" spans="1:44">
      <c r="I9" s="23"/>
      <c r="J9" s="23"/>
      <c r="K9" s="23"/>
      <c r="L9" s="23"/>
      <c r="M9" s="23"/>
      <c r="N9" s="23"/>
      <c r="O9" s="23"/>
      <c r="P9" s="23"/>
      <c r="Q9" s="27"/>
      <c r="R9" s="23"/>
      <c r="S9" s="23"/>
      <c r="T9" s="20"/>
      <c r="U9" s="20"/>
      <c r="V9" s="20"/>
      <c r="W9" s="20"/>
      <c r="X9" s="20"/>
      <c r="Y9" s="23"/>
      <c r="Z9" s="23"/>
    </row>
    <row r="10" spans="1:44">
      <c r="A10" t="s">
        <v>469</v>
      </c>
      <c r="O10" s="23"/>
      <c r="P10" s="23"/>
      <c r="Q10" s="27"/>
      <c r="R10" s="23"/>
      <c r="S10" s="23"/>
      <c r="T10" s="20"/>
      <c r="U10" s="41"/>
      <c r="V10" s="42"/>
      <c r="W10" s="20"/>
      <c r="X10" s="20"/>
      <c r="Y10" s="23"/>
      <c r="Z10" s="23"/>
      <c r="AA10" s="23"/>
      <c r="AB10" s="23"/>
    </row>
    <row r="11" spans="1:44">
      <c r="O11" s="23"/>
      <c r="P11" s="23"/>
      <c r="Q11" s="27"/>
      <c r="R11" s="23"/>
      <c r="S11" s="23"/>
      <c r="T11" s="20"/>
      <c r="U11" s="20"/>
      <c r="V11" s="20"/>
      <c r="W11" s="20"/>
      <c r="X11" s="20"/>
      <c r="Y11" s="23"/>
      <c r="Z11" s="23"/>
      <c r="AA11" s="23"/>
      <c r="AB11" s="23"/>
    </row>
    <row r="12" spans="1:44">
      <c r="A12" t="s">
        <v>470</v>
      </c>
      <c r="O12" s="23"/>
      <c r="P12" s="23"/>
      <c r="Q12" s="27"/>
      <c r="R12" s="23"/>
      <c r="S12" s="23"/>
      <c r="T12" s="20"/>
      <c r="U12" s="20"/>
      <c r="V12" s="20"/>
      <c r="W12" s="20"/>
      <c r="X12" s="20"/>
      <c r="Y12" s="23"/>
      <c r="Z12" s="23"/>
      <c r="AA12" s="23"/>
      <c r="AB12" s="23"/>
    </row>
    <row r="13" spans="1:44">
      <c r="A13" s="14" t="s">
        <v>431</v>
      </c>
      <c r="B13" s="48" t="s">
        <v>424</v>
      </c>
      <c r="C13" s="48"/>
      <c r="D13" s="48" t="s">
        <v>432</v>
      </c>
      <c r="E13" s="48"/>
      <c r="F13" s="48"/>
      <c r="G13" s="48"/>
      <c r="H13" s="49"/>
      <c r="I13" s="30"/>
      <c r="J13" s="30"/>
      <c r="K13" s="30"/>
      <c r="L13" s="30"/>
      <c r="M13" s="30"/>
      <c r="N13" s="30"/>
      <c r="O13" s="48" t="s">
        <v>433</v>
      </c>
      <c r="P13" s="48"/>
      <c r="Q13" s="48"/>
      <c r="R13" s="48" t="s">
        <v>434</v>
      </c>
      <c r="S13" s="48"/>
      <c r="T13" s="48"/>
      <c r="U13" s="48" t="s">
        <v>435</v>
      </c>
      <c r="V13" s="48"/>
      <c r="W13" s="14" t="s">
        <v>436</v>
      </c>
      <c r="X13" s="30" t="s">
        <v>437</v>
      </c>
      <c r="Y13" s="48" t="s">
        <v>438</v>
      </c>
      <c r="Z13" s="48"/>
      <c r="AA13" s="14" t="s">
        <v>439</v>
      </c>
      <c r="AB13" s="14"/>
      <c r="AC13" s="48" t="s">
        <v>440</v>
      </c>
      <c r="AD13" s="48"/>
      <c r="AE13" s="48"/>
      <c r="AF13" s="48"/>
      <c r="AG13" s="48" t="s">
        <v>441</v>
      </c>
      <c r="AH13" s="48"/>
      <c r="AI13" s="48"/>
      <c r="AJ13" s="48"/>
      <c r="AK13" s="48" t="s">
        <v>442</v>
      </c>
      <c r="AL13" s="48"/>
      <c r="AM13" s="48"/>
      <c r="AN13" s="48"/>
      <c r="AO13" s="48" t="s">
        <v>443</v>
      </c>
      <c r="AP13" s="48"/>
      <c r="AQ13" s="48"/>
      <c r="AR13" s="48"/>
    </row>
    <row r="14" spans="1:44">
      <c r="A14" s="24"/>
      <c r="B14" s="24" t="s">
        <v>424</v>
      </c>
      <c r="C14" s="24" t="s">
        <v>444</v>
      </c>
      <c r="D14" s="24" t="s">
        <v>445</v>
      </c>
      <c r="E14" s="24" t="s">
        <v>446</v>
      </c>
      <c r="F14" s="24" t="s">
        <v>447</v>
      </c>
      <c r="G14" s="24" t="s">
        <v>448</v>
      </c>
      <c r="H14" s="26" t="s">
        <v>449</v>
      </c>
      <c r="I14" s="24" t="s">
        <v>450</v>
      </c>
      <c r="J14" s="24" t="s">
        <v>451</v>
      </c>
      <c r="K14" s="24" t="s">
        <v>452</v>
      </c>
      <c r="L14" s="24" t="s">
        <v>453</v>
      </c>
      <c r="M14" s="24" t="s">
        <v>454</v>
      </c>
      <c r="N14" s="26" t="s">
        <v>455</v>
      </c>
      <c r="O14" s="24" t="s">
        <v>456</v>
      </c>
      <c r="P14" s="24" t="s">
        <v>457</v>
      </c>
      <c r="Q14" s="26" t="s">
        <v>458</v>
      </c>
      <c r="R14" s="24" t="s">
        <v>456</v>
      </c>
      <c r="S14" s="24" t="s">
        <v>457</v>
      </c>
      <c r="T14" s="24" t="s">
        <v>458</v>
      </c>
      <c r="U14" s="24" t="s">
        <v>459</v>
      </c>
      <c r="V14" s="24" t="s">
        <v>471</v>
      </c>
      <c r="W14" s="24" t="s">
        <v>461</v>
      </c>
      <c r="X14" s="24" t="s">
        <v>461</v>
      </c>
      <c r="Y14" s="24" t="s">
        <v>462</v>
      </c>
      <c r="Z14" s="24" t="s">
        <v>463</v>
      </c>
      <c r="AA14" s="24" t="s">
        <v>462</v>
      </c>
      <c r="AB14" s="24" t="s">
        <v>463</v>
      </c>
      <c r="AC14" s="32" t="s">
        <v>464</v>
      </c>
      <c r="AD14" s="24" t="s">
        <v>465</v>
      </c>
      <c r="AE14" s="24" t="s">
        <v>466</v>
      </c>
      <c r="AF14" s="24" t="s">
        <v>467</v>
      </c>
      <c r="AG14" s="24" t="s">
        <v>464</v>
      </c>
      <c r="AH14" s="24" t="s">
        <v>465</v>
      </c>
      <c r="AI14" s="24" t="s">
        <v>466</v>
      </c>
      <c r="AJ14" s="24" t="s">
        <v>467</v>
      </c>
      <c r="AK14" s="32" t="s">
        <v>464</v>
      </c>
      <c r="AL14" s="24" t="s">
        <v>465</v>
      </c>
      <c r="AM14" s="24" t="s">
        <v>466</v>
      </c>
      <c r="AN14" s="24" t="s">
        <v>467</v>
      </c>
      <c r="AO14" s="24" t="s">
        <v>464</v>
      </c>
      <c r="AP14" s="24" t="s">
        <v>465</v>
      </c>
      <c r="AQ14" s="24" t="s">
        <v>466</v>
      </c>
      <c r="AR14" s="24" t="s">
        <v>467</v>
      </c>
    </row>
    <row r="15" spans="1:44">
      <c r="A15" t="s">
        <v>468</v>
      </c>
      <c r="B15">
        <v>2026</v>
      </c>
      <c r="C15">
        <v>1</v>
      </c>
      <c r="D15" s="20">
        <f>Parameters!$B$7</f>
        <v>538.41999999999996</v>
      </c>
      <c r="E15">
        <f>Parameters!$B$8</f>
        <v>414.17</v>
      </c>
      <c r="F15" s="19">
        <f>Parameters!$B$12</f>
        <v>1.01088</v>
      </c>
      <c r="G15" s="20">
        <f>D15*POWER(F15,C15)</f>
        <v>544.2780095999999</v>
      </c>
      <c r="H15" s="27">
        <f>E15*POWER(F15,C15)</f>
        <v>418.67616960000004</v>
      </c>
      <c r="I15" s="23">
        <f>'Population Projections'!B3</f>
        <v>932200</v>
      </c>
      <c r="J15" s="23">
        <f>I15*Parameters!$B$14</f>
        <v>391524</v>
      </c>
      <c r="K15" s="23">
        <f>I15*Parameters!$B$13</f>
        <v>540676</v>
      </c>
      <c r="L15" s="23">
        <f>J15*G15</f>
        <v>213097903.43063036</v>
      </c>
      <c r="M15" s="23">
        <f>K15*H15</f>
        <v>226368156.67464963</v>
      </c>
      <c r="N15" s="29">
        <f>M15+L15</f>
        <v>439466060.10527998</v>
      </c>
      <c r="T15" s="20">
        <f>SUM(T16:T25)</f>
        <v>175786424.04211199</v>
      </c>
      <c r="U15" s="20">
        <f>SUM(U16:U20)</f>
        <v>209004660.58867204</v>
      </c>
      <c r="V15" s="20">
        <f>SUM(V16:V18)</f>
        <v>175786424.04211199</v>
      </c>
      <c r="W15" s="20">
        <f>U15+V15-Q15</f>
        <v>384791084.63078403</v>
      </c>
      <c r="X15" s="20">
        <f>U15+V15-T15</f>
        <v>209004660.58867204</v>
      </c>
      <c r="AC15" s="33">
        <f>SUM(Y16:Y25)</f>
        <v>19.005890047454095</v>
      </c>
      <c r="AE15">
        <f>SUM(AD16:AD20)</f>
        <v>9.7482959729900927</v>
      </c>
      <c r="AF15" s="23">
        <f>MIN(Y16:Y25)</f>
        <v>3.7844378528519758</v>
      </c>
      <c r="AG15" s="38">
        <f>SUM(AA16:AA20)</f>
        <v>18.991596228591497</v>
      </c>
      <c r="AI15">
        <f>SUM(AH16:AH20)</f>
        <v>9.7446209217143167</v>
      </c>
      <c r="AJ15" s="38">
        <f>MIN(AA16:AA25)</f>
        <v>3.7740169976413305</v>
      </c>
      <c r="AK15" s="33">
        <f>SUM(Z16:Z20)</f>
        <v>37.371398373059158</v>
      </c>
      <c r="AM15">
        <f>SUM(AL16:AL20)</f>
        <v>13.665144665613658</v>
      </c>
      <c r="AN15" s="23">
        <f>MIN(Z16:Z20)</f>
        <v>6.9024189569042171</v>
      </c>
      <c r="AO15" s="38">
        <f>SUM(AB16:AB20)</f>
        <v>37.004132929820798</v>
      </c>
      <c r="AQ15">
        <f>SUM(AP16:AP20)</f>
        <v>13.665144665613658</v>
      </c>
      <c r="AR15" s="38">
        <f>MIN(AB16:AB20)</f>
        <v>6.6418057189471265</v>
      </c>
    </row>
    <row r="16" spans="1:44">
      <c r="A16">
        <v>1</v>
      </c>
      <c r="D16" s="20"/>
      <c r="F16" s="19"/>
      <c r="G16" s="20"/>
      <c r="H16" s="27"/>
      <c r="I16" s="23"/>
      <c r="J16" s="23"/>
      <c r="K16" s="23"/>
      <c r="L16" s="23"/>
      <c r="M16" s="23"/>
      <c r="N16" s="23">
        <f>Parameters!F35*$N$15</f>
        <v>29297737.340351999</v>
      </c>
      <c r="O16" s="31">
        <f>'Revenue share calc'!E18</f>
        <v>0</v>
      </c>
      <c r="P16" s="31"/>
      <c r="Q16" s="27">
        <f>O16*SUM($N$16:$N$18)</f>
        <v>0</v>
      </c>
      <c r="R16" s="23">
        <f>'Revenue share calc'!H18</f>
        <v>0</v>
      </c>
      <c r="S16" s="23"/>
      <c r="T16" s="20">
        <f>R16*SUM($N$16:$N$18)</f>
        <v>0</v>
      </c>
      <c r="U16" s="20">
        <f>Parameters!D35*Parameters!$B$12</f>
        <v>0</v>
      </c>
      <c r="V16" s="20">
        <f t="shared" ref="V16:V20" si="5">N16</f>
        <v>29297737.340351999</v>
      </c>
      <c r="W16" s="20">
        <f>U16+V16-Q16</f>
        <v>29297737.340351999</v>
      </c>
      <c r="X16" s="44">
        <f>U16+V16-T16</f>
        <v>29297737.340351999</v>
      </c>
      <c r="Y16" s="34">
        <f>(POWER(W16, -0.26) - 1)/-0.26</f>
        <v>3.8021338712189365</v>
      </c>
      <c r="Z16" s="34">
        <f>LOG(W16)</f>
        <v>7.4668340811546576</v>
      </c>
      <c r="AA16" s="38">
        <f>(POWER(X16, -0.26) - 1)/-0.26</f>
        <v>3.8021338712189365</v>
      </c>
      <c r="AB16" s="38">
        <f>LOG(X16)</f>
        <v>7.4668340811546576</v>
      </c>
      <c r="AD16">
        <f>SQRT(Y16)</f>
        <v>1.9499061185654392</v>
      </c>
      <c r="AH16">
        <f>SQRT(AA16)</f>
        <v>1.9499061185654392</v>
      </c>
      <c r="AL16">
        <f>SQRT(Z16)</f>
        <v>2.7325508377987515</v>
      </c>
      <c r="AP16">
        <f>SQRT(Z16)</f>
        <v>2.7325508377987515</v>
      </c>
    </row>
    <row r="17" spans="1:42">
      <c r="A17">
        <v>2</v>
      </c>
      <c r="D17" s="20"/>
      <c r="F17" s="19"/>
      <c r="G17" s="20"/>
      <c r="H17" s="27"/>
      <c r="I17" s="23"/>
      <c r="J17" s="23"/>
      <c r="K17" s="23"/>
      <c r="L17" s="23"/>
      <c r="M17" s="23"/>
      <c r="N17" s="23">
        <f>Parameters!F36*$N$15</f>
        <v>58595474.680703998</v>
      </c>
      <c r="O17" s="31">
        <f>'Revenue share calc'!E19</f>
        <v>2.2599597321422193E-2</v>
      </c>
      <c r="P17" s="31"/>
      <c r="Q17" s="27">
        <f t="shared" ref="Q17:Q20" si="6">O17*SUM($N$16:$N$18)</f>
        <v>3972702.3979245001</v>
      </c>
      <c r="R17" s="23">
        <f>'Revenue share calc'!H19</f>
        <v>7.6027074728460507E-3</v>
      </c>
      <c r="S17" s="23"/>
      <c r="T17" s="20">
        <f t="shared" ref="T17:T20" si="7">R17*SUM($N$16:$N$18)</f>
        <v>1336452.7596898496</v>
      </c>
      <c r="U17" s="20">
        <f>Parameters!D36*Parameters!$B$12</f>
        <v>5914795.9553280007</v>
      </c>
      <c r="V17" s="20">
        <f t="shared" si="5"/>
        <v>58595474.680703998</v>
      </c>
      <c r="W17" s="20">
        <f>U17+V17-Q17</f>
        <v>60537568.238107502</v>
      </c>
      <c r="X17" s="20">
        <f>U17+V17-T17</f>
        <v>63173817.876342148</v>
      </c>
      <c r="Y17" s="34">
        <f>(POWER(W17, -0.26) - 1)/-0.26</f>
        <v>3.8097036256911543</v>
      </c>
      <c r="Z17" s="34">
        <f t="shared" ref="Z17:Z20" si="8">LOG(W17)</f>
        <v>7.7820249715927634</v>
      </c>
      <c r="AA17" s="35">
        <f t="shared" ref="AA17:AA20" si="9">(POWER(X17, -0.26) - 1)/-0.26</f>
        <v>3.8101053626216999</v>
      </c>
      <c r="AB17" s="38">
        <f t="shared" ref="AB17:AB20" si="10">LOG(X17)</f>
        <v>7.8005371240452988</v>
      </c>
      <c r="AD17">
        <f t="shared" ref="AD17:AD20" si="11">SQRT(Y17)</f>
        <v>1.9518462095388442</v>
      </c>
      <c r="AH17">
        <f t="shared" ref="AH17:AH20" si="12">SQRT(AA17)</f>
        <v>1.9519491188608631</v>
      </c>
      <c r="AL17">
        <f t="shared" ref="AL17:AL20" si="13">SQRT(Z17)</f>
        <v>2.7896281063239887</v>
      </c>
      <c r="AP17">
        <f t="shared" ref="AP17:AP20" si="14">SQRT(Z17)</f>
        <v>2.7896281063239887</v>
      </c>
    </row>
    <row r="18" spans="1:42">
      <c r="A18">
        <v>3</v>
      </c>
      <c r="D18" s="20"/>
      <c r="F18" s="19"/>
      <c r="G18" s="20"/>
      <c r="H18" s="27"/>
      <c r="I18" s="23"/>
      <c r="J18" s="23"/>
      <c r="K18" s="23"/>
      <c r="L18" s="23"/>
      <c r="M18" s="23"/>
      <c r="N18" s="23">
        <f>Parameters!F37*$N$15</f>
        <v>87893212.021055996</v>
      </c>
      <c r="O18" s="31">
        <f>'Revenue share calc'!E20</f>
        <v>9.0784162802850815E-2</v>
      </c>
      <c r="P18" s="31"/>
      <c r="Q18" s="27">
        <f t="shared" si="6"/>
        <v>15958623.338770064</v>
      </c>
      <c r="R18" s="23">
        <f>'Revenue share calc'!H20</f>
        <v>5.5208021370437628E-2</v>
      </c>
      <c r="S18" s="23"/>
      <c r="T18" s="20">
        <f t="shared" si="7"/>
        <v>9704820.6551497299</v>
      </c>
      <c r="U18" s="20">
        <f>Parameters!D37*Parameters!$B$12</f>
        <v>21475519.258752003</v>
      </c>
      <c r="V18" s="20">
        <f t="shared" si="5"/>
        <v>87893212.021055996</v>
      </c>
      <c r="W18" s="20">
        <f>U18+V18-Q18</f>
        <v>93410107.941037938</v>
      </c>
      <c r="X18" s="20">
        <f>U18+V18-T18</f>
        <v>99663910.624658272</v>
      </c>
      <c r="Y18" s="36">
        <f>(POWER(W18, -0.26) - 1)/-0.26</f>
        <v>3.8135908584815437</v>
      </c>
      <c r="Z18" s="34">
        <f t="shared" si="8"/>
        <v>7.970393873933471</v>
      </c>
      <c r="AA18" s="37">
        <f t="shared" si="9"/>
        <v>3.8141349178435244</v>
      </c>
      <c r="AB18" s="38">
        <f t="shared" si="10"/>
        <v>7.9985379240691259</v>
      </c>
      <c r="AD18">
        <f t="shared" si="11"/>
        <v>1.9528417392306894</v>
      </c>
      <c r="AH18">
        <f t="shared" si="12"/>
        <v>1.9529810336620077</v>
      </c>
      <c r="AL18">
        <f t="shared" si="13"/>
        <v>2.8231886004894307</v>
      </c>
      <c r="AP18">
        <f t="shared" si="14"/>
        <v>2.8231886004894307</v>
      </c>
    </row>
    <row r="19" spans="1:42">
      <c r="A19">
        <v>4</v>
      </c>
      <c r="D19" s="20"/>
      <c r="F19" s="19"/>
      <c r="G19" s="20"/>
      <c r="H19" s="20"/>
      <c r="I19" s="23"/>
      <c r="J19" s="23"/>
      <c r="K19" s="23"/>
      <c r="L19" s="23"/>
      <c r="M19" s="23"/>
      <c r="N19" s="23">
        <f>Parameters!F38*$N$15</f>
        <v>117190949.361408</v>
      </c>
      <c r="O19" s="31">
        <f>'Revenue share calc'!E21</f>
        <v>0.19959712209947778</v>
      </c>
      <c r="P19" s="31"/>
      <c r="Q19" s="27">
        <f t="shared" si="6"/>
        <v>35086464.342964001</v>
      </c>
      <c r="R19" s="23">
        <f>'Revenue share calc'!H21</f>
        <v>0.17400811314680978</v>
      </c>
      <c r="S19" s="23"/>
      <c r="T19" s="20">
        <f t="shared" si="7"/>
        <v>30588263.964392908</v>
      </c>
      <c r="U19" s="20">
        <f>Parameters!D38*Parameters!$B$12</f>
        <v>43074113.056416005</v>
      </c>
      <c r="V19" s="20">
        <v>0</v>
      </c>
      <c r="W19" s="20">
        <f>U19+V19-Q19</f>
        <v>7987648.7134520039</v>
      </c>
      <c r="X19" s="20">
        <f>U19+V19-T19</f>
        <v>12485849.092023097</v>
      </c>
      <c r="Y19" s="37">
        <f>(POWER(W19, -0.26) - 1)/-0.26</f>
        <v>3.7844378528519758</v>
      </c>
      <c r="Z19" s="34">
        <f t="shared" si="8"/>
        <v>6.9024189569042171</v>
      </c>
      <c r="AA19" s="25">
        <f t="shared" si="9"/>
        <v>3.7912050792660072</v>
      </c>
      <c r="AB19" s="38">
        <f t="shared" si="10"/>
        <v>7.0964180816045852</v>
      </c>
      <c r="AD19">
        <f t="shared" si="11"/>
        <v>1.9453631673422769</v>
      </c>
      <c r="AH19">
        <f t="shared" si="12"/>
        <v>1.9471017126144199</v>
      </c>
      <c r="AL19">
        <f t="shared" si="13"/>
        <v>2.6272455075428747</v>
      </c>
      <c r="AP19">
        <f t="shared" si="14"/>
        <v>2.6272455075428747</v>
      </c>
    </row>
    <row r="20" spans="1:42">
      <c r="A20">
        <v>5</v>
      </c>
      <c r="D20" s="20"/>
      <c r="E20" s="19"/>
      <c r="F20" s="20"/>
      <c r="G20" s="20"/>
      <c r="H20" s="27"/>
      <c r="I20" s="20"/>
      <c r="J20" s="20"/>
      <c r="K20" s="20"/>
      <c r="L20" s="20"/>
      <c r="M20" s="20"/>
      <c r="N20" s="23">
        <f>Parameters!F39*$N$15</f>
        <v>146488686.70175999</v>
      </c>
      <c r="O20" s="31">
        <f>'Revenue share calc'!E22</f>
        <v>0.68701911777624924</v>
      </c>
      <c r="P20" s="31"/>
      <c r="Q20" s="27">
        <f t="shared" si="6"/>
        <v>120768633.96245342</v>
      </c>
      <c r="R20" s="23">
        <f>'Revenue share calc'!H22</f>
        <v>0.76318115800990649</v>
      </c>
      <c r="S20" s="23"/>
      <c r="T20" s="20">
        <f t="shared" si="7"/>
        <v>134156886.6628795</v>
      </c>
      <c r="U20" s="20">
        <f>Parameters!D39*Parameters!$B$12</f>
        <v>138540232.31817603</v>
      </c>
      <c r="V20" s="20">
        <v>0</v>
      </c>
      <c r="W20" s="20">
        <f>U20+V20-Q20</f>
        <v>17771598.355722606</v>
      </c>
      <c r="X20" s="20">
        <f>U20+V20-T20</f>
        <v>4383345.6552965343</v>
      </c>
      <c r="Y20" s="37">
        <f>(POWER(W20, -0.26) - 1)/-0.26</f>
        <v>3.7960238392104841</v>
      </c>
      <c r="Z20" s="34">
        <f t="shared" si="8"/>
        <v>7.2497264894740523</v>
      </c>
      <c r="AA20" s="25">
        <f t="shared" si="9"/>
        <v>3.7740169976413305</v>
      </c>
      <c r="AB20" s="38">
        <f t="shared" si="10"/>
        <v>6.6418057189471265</v>
      </c>
      <c r="AD20">
        <f t="shared" si="11"/>
        <v>1.9483387383128439</v>
      </c>
      <c r="AH20">
        <f t="shared" si="12"/>
        <v>1.9426829380115866</v>
      </c>
      <c r="AL20">
        <f t="shared" si="13"/>
        <v>2.6925316134586148</v>
      </c>
      <c r="AP20">
        <f t="shared" si="14"/>
        <v>2.6925316134586148</v>
      </c>
    </row>
    <row r="21" spans="1:42">
      <c r="D21" s="20"/>
      <c r="F21" s="19"/>
      <c r="G21" s="20"/>
      <c r="H21" s="20"/>
      <c r="I21" s="23"/>
      <c r="J21" s="23"/>
      <c r="K21" s="23"/>
      <c r="L21" s="23"/>
      <c r="M21" s="23"/>
      <c r="N21" s="23"/>
      <c r="O21" s="23"/>
      <c r="P21" s="23"/>
      <c r="Q21" s="27"/>
      <c r="R21" s="23"/>
      <c r="S21" s="23"/>
      <c r="T21" s="20"/>
      <c r="U21" s="20"/>
      <c r="V21" s="20"/>
      <c r="W21" s="20"/>
      <c r="X21" s="20"/>
      <c r="Y21" s="37"/>
      <c r="Z21" s="37"/>
      <c r="AA21" s="25"/>
      <c r="AB21" s="25"/>
    </row>
    <row r="22" spans="1:42">
      <c r="D22" s="20"/>
      <c r="E22" s="19"/>
      <c r="F22" s="20"/>
      <c r="G22" s="20"/>
      <c r="H22" s="27"/>
      <c r="I22" s="20"/>
      <c r="J22" s="20"/>
      <c r="K22" s="20"/>
      <c r="L22" s="20"/>
      <c r="M22" s="20"/>
      <c r="N22" s="20"/>
      <c r="O22" s="23"/>
      <c r="P22" s="23"/>
      <c r="Q22" s="27"/>
      <c r="R22" s="23"/>
      <c r="S22" s="23"/>
      <c r="T22" s="20"/>
      <c r="U22" s="20"/>
      <c r="V22" s="20"/>
      <c r="W22" s="20"/>
      <c r="X22" s="20"/>
      <c r="Y22" s="23"/>
      <c r="Z22" s="23"/>
      <c r="AA22" s="23"/>
      <c r="AB22" s="23"/>
    </row>
    <row r="23" spans="1:42">
      <c r="I23" s="23"/>
      <c r="J23" s="23"/>
      <c r="K23" s="23"/>
      <c r="L23" s="23"/>
      <c r="M23" s="23"/>
      <c r="N23" s="23"/>
      <c r="O23" s="23"/>
      <c r="P23" s="23"/>
      <c r="Q23" s="27"/>
      <c r="R23" s="23"/>
      <c r="S23" s="23"/>
      <c r="T23" s="20"/>
      <c r="U23" s="20"/>
      <c r="V23" s="20"/>
      <c r="W23" s="20"/>
      <c r="X23" s="20"/>
      <c r="Y23" s="23"/>
      <c r="Z23" s="23"/>
      <c r="AA23" s="23"/>
      <c r="AB23" s="23"/>
    </row>
    <row r="24" spans="1:42">
      <c r="O24" s="23"/>
      <c r="P24" s="23"/>
      <c r="Q24" s="27"/>
      <c r="R24" s="23"/>
      <c r="S24" s="23"/>
      <c r="T24" s="20"/>
      <c r="U24" s="20"/>
      <c r="V24" s="20"/>
      <c r="W24" s="20"/>
      <c r="X24" s="20"/>
      <c r="Y24" s="23"/>
      <c r="Z24" s="23"/>
      <c r="AA24" s="23"/>
      <c r="AB24" s="23"/>
    </row>
    <row r="25" spans="1:42">
      <c r="O25" s="23"/>
      <c r="P25" s="23"/>
      <c r="Q25" s="27"/>
      <c r="R25" s="23"/>
      <c r="S25" s="23"/>
      <c r="T25" s="20"/>
      <c r="U25" s="20"/>
      <c r="V25" s="20"/>
      <c r="W25" s="20"/>
      <c r="X25" s="20"/>
      <c r="Y25" s="23"/>
      <c r="Z25" s="23"/>
      <c r="AA25" s="23"/>
      <c r="AB25" s="23"/>
    </row>
    <row r="26" spans="1:42">
      <c r="O26" s="23"/>
      <c r="P26" s="23"/>
      <c r="Q26" s="27"/>
      <c r="R26" s="23"/>
      <c r="S26" s="23"/>
      <c r="T26" s="20"/>
      <c r="U26" s="20"/>
      <c r="V26" s="20"/>
      <c r="W26" s="20"/>
      <c r="X26" s="20"/>
      <c r="Y26" s="23"/>
      <c r="Z26" s="23"/>
      <c r="AA26" s="23"/>
      <c r="AB26" s="23"/>
    </row>
    <row r="27" spans="1:42">
      <c r="O27" s="23"/>
      <c r="P27" s="23"/>
      <c r="Q27" s="27"/>
      <c r="R27" s="23"/>
      <c r="S27" s="23"/>
      <c r="T27" s="20"/>
      <c r="U27" s="20"/>
      <c r="V27" s="20"/>
      <c r="W27" s="20"/>
      <c r="X27" s="20"/>
      <c r="Y27" s="23"/>
      <c r="Z27" s="23"/>
      <c r="AA27" s="23"/>
      <c r="AB27" s="23"/>
    </row>
  </sheetData>
  <mergeCells count="20">
    <mergeCell ref="AK1:AN1"/>
    <mergeCell ref="AO1:AR1"/>
    <mergeCell ref="B13:C13"/>
    <mergeCell ref="D13:H13"/>
    <mergeCell ref="O13:Q13"/>
    <mergeCell ref="R13:T13"/>
    <mergeCell ref="U13:V13"/>
    <mergeCell ref="Y13:Z13"/>
    <mergeCell ref="AC13:AF13"/>
    <mergeCell ref="AG13:AJ13"/>
    <mergeCell ref="AK13:AN13"/>
    <mergeCell ref="AO13:AR13"/>
    <mergeCell ref="B1:C1"/>
    <mergeCell ref="D1:H1"/>
    <mergeCell ref="O1:Q1"/>
    <mergeCell ref="R1:T1"/>
    <mergeCell ref="U1:V1"/>
    <mergeCell ref="AC1:AF1"/>
    <mergeCell ref="AG1:AJ1"/>
    <mergeCell ref="Y1:Z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5DD51-E48C-4D2D-8D30-2A1EB75E9477}">
  <dimension ref="A1:B7"/>
  <sheetViews>
    <sheetView workbookViewId="0">
      <selection activeCell="B10" sqref="B10"/>
    </sheetView>
  </sheetViews>
  <sheetFormatPr defaultRowHeight="15"/>
  <cols>
    <col min="1" max="1" width="12" bestFit="1" customWidth="1"/>
  </cols>
  <sheetData>
    <row r="1" spans="1:2">
      <c r="A1">
        <v>461053726</v>
      </c>
    </row>
    <row r="2" spans="1:2">
      <c r="A2">
        <v>302831605</v>
      </c>
    </row>
    <row r="3" spans="1:2">
      <c r="A3" s="43"/>
    </row>
    <row r="4" spans="1:2">
      <c r="A4">
        <f>A1+A2</f>
        <v>763885331</v>
      </c>
      <c r="B4" t="s">
        <v>472</v>
      </c>
    </row>
    <row r="5" spans="1:2">
      <c r="A5">
        <v>2067497792</v>
      </c>
      <c r="B5" t="s">
        <v>473</v>
      </c>
    </row>
    <row r="7" spans="1:2">
      <c r="A7">
        <f>A4/A5</f>
        <v>0.36947334790672415</v>
      </c>
      <c r="B7" t="s">
        <v>474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085F5-30F3-46DA-8898-B36046B3144F}">
  <dimension ref="A1:BE41"/>
  <sheetViews>
    <sheetView workbookViewId="0">
      <selection activeCell="D7" sqref="D7"/>
    </sheetView>
  </sheetViews>
  <sheetFormatPr defaultRowHeight="15"/>
  <cols>
    <col min="3" max="3" width="16" customWidth="1"/>
    <col min="4" max="4" width="27.42578125" bestFit="1" customWidth="1"/>
    <col min="5" max="5" width="26.85546875" customWidth="1"/>
    <col min="6" max="7" width="28.42578125" customWidth="1"/>
    <col min="8" max="8" width="28.42578125" style="28" customWidth="1"/>
    <col min="9" max="9" width="35.5703125" bestFit="1" customWidth="1"/>
    <col min="10" max="13" width="31.42578125" customWidth="1"/>
    <col min="14" max="14" width="27.85546875" style="28" customWidth="1"/>
    <col min="15" max="21" width="27.85546875" customWidth="1"/>
    <col min="22" max="22" width="28.85546875" customWidth="1"/>
    <col min="23" max="23" width="27.85546875" style="28" customWidth="1"/>
    <col min="24" max="26" width="27.85546875" customWidth="1"/>
    <col min="27" max="27" width="36.5703125" bestFit="1" customWidth="1"/>
    <col min="28" max="28" width="25.28515625" bestFit="1" customWidth="1"/>
    <col min="29" max="35" width="31.85546875" customWidth="1"/>
    <col min="36" max="36" width="38.7109375" bestFit="1" customWidth="1"/>
    <col min="37" max="41" width="38.7109375" customWidth="1"/>
    <col min="42" max="42" width="11.5703125" customWidth="1"/>
    <col min="43" max="43" width="14.5703125" bestFit="1" customWidth="1"/>
    <col min="44" max="44" width="11.140625" customWidth="1"/>
    <col min="45" max="46" width="12" customWidth="1"/>
    <col min="47" max="47" width="14.5703125" bestFit="1" customWidth="1"/>
    <col min="48" max="49" width="12" customWidth="1"/>
    <col min="50" max="50" width="16" bestFit="1" customWidth="1"/>
    <col min="51" max="51" width="14.5703125" bestFit="1" customWidth="1"/>
    <col min="52" max="52" width="16" bestFit="1" customWidth="1"/>
    <col min="53" max="53" width="14.85546875" bestFit="1" customWidth="1"/>
    <col min="54" max="54" width="16" bestFit="1" customWidth="1"/>
    <col min="55" max="55" width="14.5703125" bestFit="1" customWidth="1"/>
    <col min="56" max="56" width="12.5703125" bestFit="1" customWidth="1"/>
    <col min="57" max="57" width="14.85546875" bestFit="1" customWidth="1"/>
  </cols>
  <sheetData>
    <row r="1" spans="1:57" s="14" customFormat="1">
      <c r="A1" s="14" t="s">
        <v>475</v>
      </c>
      <c r="B1" s="48" t="s">
        <v>424</v>
      </c>
      <c r="C1" s="48"/>
      <c r="D1" s="48" t="s">
        <v>432</v>
      </c>
      <c r="E1" s="48"/>
      <c r="F1" s="48"/>
      <c r="G1" s="48"/>
      <c r="H1" s="49"/>
      <c r="I1" s="48"/>
      <c r="J1" s="48"/>
      <c r="K1" s="48"/>
      <c r="L1" s="48"/>
      <c r="M1" s="48"/>
      <c r="N1" s="48"/>
      <c r="O1" s="30"/>
      <c r="P1" s="30"/>
      <c r="Q1" s="30"/>
      <c r="R1" s="30"/>
      <c r="S1" s="30"/>
      <c r="T1" s="30"/>
      <c r="U1" s="48" t="s">
        <v>433</v>
      </c>
      <c r="V1" s="48"/>
      <c r="W1" s="48"/>
      <c r="X1" s="48" t="s">
        <v>434</v>
      </c>
      <c r="Y1" s="48"/>
      <c r="Z1" s="48"/>
      <c r="AA1" s="48" t="s">
        <v>476</v>
      </c>
      <c r="AB1" s="48"/>
      <c r="AC1" s="48" t="s">
        <v>435</v>
      </c>
      <c r="AD1" s="48"/>
      <c r="AE1" s="14" t="s">
        <v>436</v>
      </c>
      <c r="AF1" s="30" t="s">
        <v>437</v>
      </c>
      <c r="AG1" s="14" t="s">
        <v>477</v>
      </c>
      <c r="AH1" s="14" t="s">
        <v>478</v>
      </c>
      <c r="AI1" s="47" t="s">
        <v>479</v>
      </c>
      <c r="AJ1" s="48" t="s">
        <v>438</v>
      </c>
      <c r="AK1" s="48"/>
      <c r="AL1" s="30"/>
      <c r="AM1" s="48" t="s">
        <v>439</v>
      </c>
      <c r="AN1" s="48"/>
      <c r="AO1" s="48"/>
      <c r="AP1" s="48" t="s">
        <v>480</v>
      </c>
      <c r="AQ1" s="48"/>
      <c r="AR1" s="48"/>
      <c r="AS1" s="48"/>
      <c r="AT1" s="48" t="s">
        <v>481</v>
      </c>
      <c r="AU1" s="48"/>
      <c r="AV1" s="48"/>
      <c r="AW1" s="48"/>
      <c r="AX1" s="48" t="s">
        <v>482</v>
      </c>
      <c r="AY1" s="48"/>
      <c r="AZ1" s="48"/>
      <c r="BA1" s="48"/>
      <c r="BB1" s="48" t="s">
        <v>482</v>
      </c>
      <c r="BC1" s="48"/>
      <c r="BD1" s="48"/>
      <c r="BE1" s="48"/>
    </row>
    <row r="2" spans="1:57" s="24" customFormat="1">
      <c r="B2" s="24" t="s">
        <v>424</v>
      </c>
      <c r="C2" s="24" t="s">
        <v>444</v>
      </c>
      <c r="D2" s="24" t="s">
        <v>445</v>
      </c>
      <c r="E2" s="24" t="s">
        <v>446</v>
      </c>
      <c r="F2" s="24" t="s">
        <v>447</v>
      </c>
      <c r="G2" s="24" t="s">
        <v>448</v>
      </c>
      <c r="H2" s="26" t="s">
        <v>449</v>
      </c>
      <c r="I2" s="24" t="s">
        <v>483</v>
      </c>
      <c r="J2" s="24" t="s">
        <v>451</v>
      </c>
      <c r="K2" s="24" t="s">
        <v>452</v>
      </c>
      <c r="L2" s="24" t="s">
        <v>453</v>
      </c>
      <c r="M2" s="24" t="s">
        <v>454</v>
      </c>
      <c r="N2" s="26" t="s">
        <v>484</v>
      </c>
      <c r="O2" s="24" t="s">
        <v>450</v>
      </c>
      <c r="P2" s="24" t="s">
        <v>451</v>
      </c>
      <c r="Q2" s="24" t="s">
        <v>452</v>
      </c>
      <c r="R2" s="24" t="s">
        <v>453</v>
      </c>
      <c r="S2" s="24" t="s">
        <v>454</v>
      </c>
      <c r="T2" s="26" t="s">
        <v>455</v>
      </c>
      <c r="U2" s="24" t="s">
        <v>456</v>
      </c>
      <c r="V2" s="24" t="s">
        <v>485</v>
      </c>
      <c r="W2" s="26" t="s">
        <v>458</v>
      </c>
      <c r="X2" s="24" t="s">
        <v>456</v>
      </c>
      <c r="Y2" s="24" t="s">
        <v>485</v>
      </c>
      <c r="Z2" s="24" t="s">
        <v>458</v>
      </c>
      <c r="AA2" s="24" t="s">
        <v>486</v>
      </c>
      <c r="AB2" s="24" t="s">
        <v>487</v>
      </c>
      <c r="AC2" s="24" t="s">
        <v>488</v>
      </c>
      <c r="AD2" s="24" t="s">
        <v>460</v>
      </c>
      <c r="AE2" s="24" t="s">
        <v>461</v>
      </c>
      <c r="AF2" s="24" t="s">
        <v>461</v>
      </c>
      <c r="AJ2" s="24" t="s">
        <v>462</v>
      </c>
      <c r="AK2" s="24" t="s">
        <v>489</v>
      </c>
      <c r="AL2" s="24" t="s">
        <v>490</v>
      </c>
      <c r="AM2" s="24" t="s">
        <v>462</v>
      </c>
      <c r="AN2" s="24" t="s">
        <v>491</v>
      </c>
      <c r="AO2" s="24" t="s">
        <v>492</v>
      </c>
      <c r="AP2" s="32" t="s">
        <v>464</v>
      </c>
      <c r="AQ2" s="24" t="s">
        <v>465</v>
      </c>
      <c r="AR2" s="24" t="s">
        <v>466</v>
      </c>
      <c r="AS2" s="24" t="s">
        <v>467</v>
      </c>
      <c r="AT2" s="32" t="s">
        <v>464</v>
      </c>
      <c r="AU2" s="24" t="s">
        <v>465</v>
      </c>
      <c r="AV2" s="24" t="s">
        <v>466</v>
      </c>
      <c r="AW2" s="24" t="s">
        <v>467</v>
      </c>
      <c r="AX2" s="24" t="s">
        <v>464</v>
      </c>
      <c r="AY2" s="24" t="s">
        <v>465</v>
      </c>
      <c r="AZ2" s="24" t="s">
        <v>466</v>
      </c>
      <c r="BA2" s="24" t="s">
        <v>467</v>
      </c>
      <c r="BB2" s="24" t="s">
        <v>464</v>
      </c>
      <c r="BC2" s="24" t="s">
        <v>465</v>
      </c>
      <c r="BD2" s="24" t="s">
        <v>466</v>
      </c>
      <c r="BE2" s="24" t="s">
        <v>467</v>
      </c>
    </row>
    <row r="3" spans="1:57">
      <c r="A3" t="s">
        <v>468</v>
      </c>
      <c r="B3">
        <v>2026</v>
      </c>
      <c r="C3">
        <v>1</v>
      </c>
      <c r="D3" s="20">
        <f>Parameters!$B$7</f>
        <v>538.41999999999996</v>
      </c>
      <c r="E3">
        <f>Parameters!$B$8</f>
        <v>414.17</v>
      </c>
      <c r="F3" s="19">
        <f>Parameters!$B$12</f>
        <v>1.01088</v>
      </c>
      <c r="G3" s="20">
        <f>D3*POWER(F3,C3)</f>
        <v>544.2780095999999</v>
      </c>
      <c r="H3" s="27">
        <f>E3*POWER(F3,C3)</f>
        <v>418.67616960000004</v>
      </c>
      <c r="I3" s="23">
        <f>Parameters!B5*'Population Projections'!B3</f>
        <v>232117.8</v>
      </c>
      <c r="J3" s="23">
        <f>I3*Parameters!$B$14</f>
        <v>97489.475999999995</v>
      </c>
      <c r="K3" s="23">
        <f>I3*Parameters!$B$13</f>
        <v>134628.32399999999</v>
      </c>
      <c r="L3" s="23">
        <f>J3*G3</f>
        <v>53061377.954226956</v>
      </c>
      <c r="M3" s="23">
        <f>K3*H3</f>
        <v>56365671.011987753</v>
      </c>
      <c r="N3" s="29">
        <f>M3+L3</f>
        <v>109427048.96621472</v>
      </c>
      <c r="O3" s="23">
        <f>'Population Projections'!B3</f>
        <v>932200</v>
      </c>
      <c r="P3" s="23">
        <f>O3*Parameters!$B$14</f>
        <v>391524</v>
      </c>
      <c r="Q3" s="23">
        <f>O3*Parameters!$B$13</f>
        <v>540676</v>
      </c>
      <c r="R3" s="23">
        <f>P3*G3</f>
        <v>213097903.43063036</v>
      </c>
      <c r="S3" s="23">
        <f>Q3*H3</f>
        <v>226368156.67464963</v>
      </c>
      <c r="T3" s="29">
        <f>S3+R3</f>
        <v>439466060.10527998</v>
      </c>
      <c r="Z3" s="20">
        <f>SUM(Z4:Z13)</f>
        <v>439466060.10527998</v>
      </c>
      <c r="AA3" s="15">
        <f>'Population Projections'!C3*Parameters!B4</f>
        <v>2728423.5</v>
      </c>
      <c r="AB3" s="15">
        <f>AA3+I3</f>
        <v>2960541.3</v>
      </c>
      <c r="AC3" s="20">
        <f>SUM(AC4:AC13)</f>
        <v>196512039360</v>
      </c>
      <c r="AD3" s="20">
        <f>N3</f>
        <v>109427048.96621472</v>
      </c>
      <c r="AE3" s="20">
        <f>AC3+AD3-W3</f>
        <v>196621466408.96622</v>
      </c>
      <c r="AF3" s="20">
        <f>AC3+AD3-Z3</f>
        <v>196182000348.86093</v>
      </c>
      <c r="AG3" s="23"/>
      <c r="AH3" s="20"/>
      <c r="AI3" s="20"/>
      <c r="AJ3" t="str">
        <f>Parameters!C9</f>
        <v>u = (y^(-0.26) -1)/-0.26</v>
      </c>
      <c r="AP3" s="33">
        <f>SUM(AK4:AK13)</f>
        <v>241.2998583529029</v>
      </c>
      <c r="AR3">
        <f>SUM(_xlfn.ANCHORARRAY(AQ4))</f>
        <v>46.377889036606298</v>
      </c>
      <c r="AS3" s="31">
        <f>MIN(AJ4:AJ13)</f>
        <v>3.3509429869245611</v>
      </c>
      <c r="AT3" s="31">
        <f>SUM(AL4:AL13)</f>
        <v>46.29455615291149</v>
      </c>
      <c r="AU3" s="31"/>
      <c r="AV3" s="31">
        <f>SUM(AU4:AU13)</f>
        <v>21.479740994876281</v>
      </c>
      <c r="AW3" s="31">
        <f>MIN(AL4:AL13)</f>
        <v>3.4239865095690223</v>
      </c>
      <c r="AX3" s="38">
        <f>SUM(AN4:AN13)</f>
        <v>241.10808658976816</v>
      </c>
      <c r="AZ3">
        <f>SUM(AY4:AY13)</f>
        <v>46.359498778482049</v>
      </c>
      <c r="BA3" s="38">
        <f>MIN(AM4:AM13)</f>
        <v>3.3511902300673833</v>
      </c>
      <c r="BB3" s="38">
        <f>SUM(AO4:AO13)</f>
        <v>46.297119354937678</v>
      </c>
      <c r="BD3">
        <f>SUM(BC3:BC13)</f>
        <v>21.480384889167723</v>
      </c>
      <c r="BE3" s="38">
        <f>MIN(AO4:AO13)</f>
        <v>3.4248206775132712</v>
      </c>
    </row>
    <row r="4" spans="1:57">
      <c r="A4">
        <v>1</v>
      </c>
      <c r="D4" s="20"/>
      <c r="F4" s="19"/>
      <c r="G4" s="20"/>
      <c r="H4" s="27"/>
      <c r="I4" s="23"/>
      <c r="J4" s="23"/>
      <c r="K4" s="23"/>
      <c r="L4" s="23"/>
      <c r="M4" s="23"/>
      <c r="N4" s="29"/>
      <c r="O4" s="23"/>
      <c r="P4" s="23"/>
      <c r="Q4" s="23"/>
      <c r="R4" s="23"/>
      <c r="S4" s="23"/>
      <c r="T4" s="23"/>
      <c r="U4" s="31">
        <f>Parameters!D19</f>
        <v>3.6096393698449797E-3</v>
      </c>
      <c r="V4" s="31"/>
      <c r="W4" s="27">
        <f>$T$3*U4</f>
        <v>1586313.9922666787</v>
      </c>
      <c r="X4" s="23" cm="1">
        <f t="array" ref="X4:X13">Parameters!E19:E28</f>
        <v>0</v>
      </c>
      <c r="Y4" s="46">
        <f>(X4*$T$3)/(Parameters!B19*Parameters!$B$12)</f>
        <v>0</v>
      </c>
      <c r="Z4" s="20">
        <f>$T$3*X4</f>
        <v>0</v>
      </c>
      <c r="AA4" s="15"/>
      <c r="AB4" s="15"/>
      <c r="AC4" s="20">
        <f>Parameters!B19*Parameters!$B$12</f>
        <v>806783328</v>
      </c>
      <c r="AD4" s="20">
        <f>$AD$3*Parameters!F19</f>
        <v>19895827.084766313</v>
      </c>
      <c r="AE4" s="20">
        <f t="shared" ref="AE4:AE13" si="0">AC4+AD4-W4</f>
        <v>825092841.09249961</v>
      </c>
      <c r="AF4" s="20">
        <f t="shared" ref="AF4:AF13" si="1">AC4+AD4-Z4</f>
        <v>826679155.08476627</v>
      </c>
      <c r="AG4" s="23">
        <f>($AA$3/10)+(Parameters!F20*$I$3)</f>
        <v>310825.2627272727</v>
      </c>
      <c r="AH4" s="20">
        <f>AE4/AG4</f>
        <v>2654.5231036013329</v>
      </c>
      <c r="AI4" s="20">
        <f>AF4/AG4</f>
        <v>2659.6266591435942</v>
      </c>
      <c r="AJ4" s="34">
        <f>(POWER(AH4, -0.26) - 1)/-0.26</f>
        <v>3.3509429869245611</v>
      </c>
      <c r="AK4" s="34">
        <f>(AJ4-$AJ$4)*100</f>
        <v>0</v>
      </c>
      <c r="AL4" s="34">
        <f>LOG(AH4)</f>
        <v>3.4239865095690223</v>
      </c>
      <c r="AM4" s="38">
        <f>(POWER(AI4, -0.26) - 1)/-0.26</f>
        <v>3.3511902300673833</v>
      </c>
      <c r="AN4" s="38">
        <f>(AM4-$AM$4)*100</f>
        <v>0</v>
      </c>
      <c r="AO4" s="38">
        <f>LOG(AI4)</f>
        <v>3.4248206775132712</v>
      </c>
      <c r="AQ4" cm="1">
        <f t="array" ref="AQ4:AQ13">SQRT(AK4:AK13)</f>
        <v>0</v>
      </c>
      <c r="AU4">
        <f>SQRT(AL4)</f>
        <v>1.850401715727972</v>
      </c>
      <c r="AY4" cm="1">
        <f t="array" ref="AY4:AY13">SQRT(AN4:AN13)</f>
        <v>0</v>
      </c>
      <c r="BC4">
        <f>SQRT(AO4)</f>
        <v>1.8506271038524404</v>
      </c>
    </row>
    <row r="5" spans="1:57">
      <c r="A5">
        <v>2</v>
      </c>
      <c r="D5" s="20"/>
      <c r="F5" s="19"/>
      <c r="G5" s="20"/>
      <c r="H5" s="27"/>
      <c r="I5" s="23"/>
      <c r="J5" s="23"/>
      <c r="K5" s="23"/>
      <c r="L5" s="23"/>
      <c r="M5" s="23"/>
      <c r="N5" s="29"/>
      <c r="O5" s="23"/>
      <c r="P5" s="23"/>
      <c r="Q5" s="23"/>
      <c r="R5" s="23"/>
      <c r="S5" s="23"/>
      <c r="T5" s="23"/>
      <c r="U5" s="23">
        <f>Parameters!D20</f>
        <v>1.4401036406566694E-2</v>
      </c>
      <c r="V5" s="23">
        <f>(U5*$T$3)/(Parameters!B19*Parameters!$B$12)</f>
        <v>7.8444441170040687E-3</v>
      </c>
      <c r="W5" s="27">
        <f>$T$3*U5</f>
        <v>6328766.7310265638</v>
      </c>
      <c r="X5" s="23">
        <v>3.2866725984765288E-3</v>
      </c>
      <c r="Y5" s="46">
        <f>(X5*$T$3)/(Parameters!B20*Parameters!$B$12)</f>
        <v>3.9489133828742853E-4</v>
      </c>
      <c r="Z5" s="20">
        <f t="shared" ref="Z5:Z13" si="2">$T$3*X5</f>
        <v>1444381.0577084629</v>
      </c>
      <c r="AA5" s="15"/>
      <c r="AB5" s="15"/>
      <c r="AC5" s="20">
        <f>Parameters!B20*Parameters!$B$12</f>
        <v>3657667104</v>
      </c>
      <c r="AD5" s="20">
        <f>$AD$3*Parameters!F20</f>
        <v>17906244.376289681</v>
      </c>
      <c r="AE5" s="20">
        <f t="shared" si="0"/>
        <v>3669244581.6452632</v>
      </c>
      <c r="AF5" s="20">
        <f t="shared" si="1"/>
        <v>3674128967.3185816</v>
      </c>
      <c r="AG5" s="23">
        <f>($AA$3/10)+(Parameters!F21*$I$3)</f>
        <v>306604.93909090909</v>
      </c>
      <c r="AH5" s="20">
        <f t="shared" ref="AH5:AH13" si="3">AE5/AG5</f>
        <v>11967.33683587962</v>
      </c>
      <c r="AI5" s="20">
        <f t="shared" ref="AI5:AI13" si="4">AF5/AG5</f>
        <v>11983.26738705665</v>
      </c>
      <c r="AJ5" s="34">
        <f t="shared" ref="AJ5:AJ13" si="5">(POWER(AH5, -0.26) - 1)/-0.26</f>
        <v>3.5113832558195628</v>
      </c>
      <c r="AK5" s="34">
        <f t="shared" ref="AK5:AK13" si="6">(AJ5-$AJ$4)*100</f>
        <v>16.044026889500174</v>
      </c>
      <c r="AL5" s="34">
        <f t="shared" ref="AL5:AL13" si="7">LOG(AH5)</f>
        <v>4.0779975149707655</v>
      </c>
      <c r="AM5" s="38">
        <f t="shared" ref="AM5:AM13" si="8">(POWER(AI5, -0.26) - 1)/-0.26</f>
        <v>3.5114990241927022</v>
      </c>
      <c r="AN5" s="38">
        <f>(AM5-$AM$4)*100</f>
        <v>16.030879412531895</v>
      </c>
      <c r="AO5" s="38">
        <f t="shared" ref="AO5:AO13" si="9">LOG(AI5)</f>
        <v>4.0785752499978871</v>
      </c>
      <c r="AQ5">
        <v>4.0054995805142921</v>
      </c>
      <c r="AU5">
        <f t="shared" ref="AU5:AU13" si="10">SQRT(AL5)</f>
        <v>2.0194052379279315</v>
      </c>
      <c r="AY5">
        <v>4.0038580659823468</v>
      </c>
      <c r="BC5">
        <f t="shared" ref="BC5:BC13" si="11">SQRT(AO5)</f>
        <v>2.0195482786994439</v>
      </c>
    </row>
    <row r="6" spans="1:57">
      <c r="A6">
        <v>3</v>
      </c>
      <c r="D6" s="20"/>
      <c r="F6" s="19"/>
      <c r="G6" s="20"/>
      <c r="H6" s="27"/>
      <c r="I6" s="23"/>
      <c r="J6" s="23"/>
      <c r="K6" s="23"/>
      <c r="L6" s="23"/>
      <c r="M6" s="23"/>
      <c r="N6" s="29"/>
      <c r="O6" s="23"/>
      <c r="P6" s="23"/>
      <c r="Q6" s="23"/>
      <c r="R6" s="23"/>
      <c r="S6" s="23"/>
      <c r="T6" s="23"/>
      <c r="U6" s="23">
        <f>Parameters!D21</f>
        <v>3.1399077404942015E-2</v>
      </c>
      <c r="V6" s="23">
        <f>(U6*$T$3)/(Parameters!B20*Parameters!$B$12)</f>
        <v>3.7725764662946719E-3</v>
      </c>
      <c r="W6" s="27">
        <f>$T$3*U6</f>
        <v>13798828.838090586</v>
      </c>
      <c r="X6" s="23">
        <v>1.0281717973370259E-2</v>
      </c>
      <c r="Y6" s="46">
        <f>(X6*$T$3)/(Parameters!B21*Parameters!$B$12)</f>
        <v>5.923370074311429E-4</v>
      </c>
      <c r="Z6" s="20">
        <f t="shared" si="2"/>
        <v>4518466.0888706716</v>
      </c>
      <c r="AA6" s="15"/>
      <c r="AB6" s="15"/>
      <c r="AC6" s="20">
        <f>Parameters!B21*Parameters!$B$12</f>
        <v>7628201568</v>
      </c>
      <c r="AD6" s="20">
        <f>$AD$3*Parameters!F21</f>
        <v>15916661.66781305</v>
      </c>
      <c r="AE6" s="20">
        <f t="shared" si="0"/>
        <v>7630319400.8297224</v>
      </c>
      <c r="AF6" s="20">
        <f t="shared" si="1"/>
        <v>7639599763.5789423</v>
      </c>
      <c r="AG6" s="23">
        <f>($AA$3/10)+(Parameters!F22*$I$3)</f>
        <v>302384.61545454542</v>
      </c>
      <c r="AH6" s="20">
        <f t="shared" si="3"/>
        <v>25233.821467272086</v>
      </c>
      <c r="AI6" s="20">
        <f t="shared" si="4"/>
        <v>25264.512058905755</v>
      </c>
      <c r="AJ6" s="34">
        <f t="shared" si="5"/>
        <v>3.5704066753295662</v>
      </c>
      <c r="AK6" s="34">
        <f t="shared" si="6"/>
        <v>21.946368840500519</v>
      </c>
      <c r="AL6" s="34">
        <f t="shared" si="7"/>
        <v>4.4019830260416617</v>
      </c>
      <c r="AM6" s="38">
        <f t="shared" si="8"/>
        <v>3.5704938066012826</v>
      </c>
      <c r="AN6" s="38">
        <f t="shared" ref="AN5:AN13" si="12">(AM6-$AM$4)*100</f>
        <v>21.930357653389933</v>
      </c>
      <c r="AO6" s="38">
        <f t="shared" si="9"/>
        <v>4.4025109149957391</v>
      </c>
      <c r="AQ6">
        <v>4.6846951704994124</v>
      </c>
      <c r="AU6">
        <f t="shared" si="10"/>
        <v>2.0980903283799917</v>
      </c>
      <c r="AY6">
        <v>4.6829859762111115</v>
      </c>
      <c r="BC6">
        <f t="shared" si="11"/>
        <v>2.0982161268553199</v>
      </c>
    </row>
    <row r="7" spans="1:57">
      <c r="A7">
        <v>4</v>
      </c>
      <c r="D7" s="20"/>
      <c r="F7" s="19"/>
      <c r="G7" s="20"/>
      <c r="H7" s="20"/>
      <c r="I7" s="23"/>
      <c r="J7" s="23"/>
      <c r="K7" s="23"/>
      <c r="L7" s="23"/>
      <c r="M7" s="23"/>
      <c r="N7" s="23"/>
      <c r="O7" s="23"/>
      <c r="P7" s="23"/>
      <c r="Q7" s="23"/>
      <c r="R7" s="23"/>
      <c r="S7" s="23"/>
      <c r="T7" s="23"/>
      <c r="U7" s="23">
        <f>Parameters!D22</f>
        <v>5.1692242898110294E-2</v>
      </c>
      <c r="V7" s="23">
        <f>(U7*$T$3)/(Parameters!B21*Parameters!$B$12)</f>
        <v>2.9780264878860201E-3</v>
      </c>
      <c r="W7" s="27">
        <f>$T$3*U7</f>
        <v>22716986.32443767</v>
      </c>
      <c r="X7" s="23">
        <v>2.162865468378096E-2</v>
      </c>
      <c r="Y7" s="46">
        <f>(X7*$T$3)/(Parameters!B22*Parameters!$B$12)</f>
        <v>7.8978267657485728E-4</v>
      </c>
      <c r="Z7" s="20">
        <f t="shared" si="2"/>
        <v>9505059.6592588294</v>
      </c>
      <c r="AA7" s="15"/>
      <c r="AB7" s="15"/>
      <c r="AC7" s="20">
        <f>Parameters!B22*Parameters!$B$12</f>
        <v>12035031840</v>
      </c>
      <c r="AD7" s="20">
        <f>$AD$3*Parameters!F22</f>
        <v>13927078.959336417</v>
      </c>
      <c r="AE7" s="20">
        <f t="shared" si="0"/>
        <v>12026241932.634899</v>
      </c>
      <c r="AF7" s="20">
        <f t="shared" si="1"/>
        <v>12039453859.300079</v>
      </c>
      <c r="AG7" s="23">
        <f>($AA$3/10)+(Parameters!F23*$I$3)</f>
        <v>298164.29181818181</v>
      </c>
      <c r="AH7" s="20">
        <f t="shared" si="3"/>
        <v>40334.279666085582</v>
      </c>
      <c r="AI7" s="20">
        <f t="shared" si="4"/>
        <v>40378.590561211946</v>
      </c>
      <c r="AJ7" s="34">
        <f t="shared" si="5"/>
        <v>3.602063090056121</v>
      </c>
      <c r="AK7" s="34">
        <f t="shared" si="6"/>
        <v>25.112010313155999</v>
      </c>
      <c r="AL7" s="34">
        <f t="shared" si="7"/>
        <v>4.6056743052398694</v>
      </c>
      <c r="AM7" s="38">
        <f t="shared" si="8"/>
        <v>3.6021327624066735</v>
      </c>
      <c r="AN7" s="38">
        <f t="shared" si="12"/>
        <v>25.09425323392902</v>
      </c>
      <c r="AO7" s="38">
        <f t="shared" si="9"/>
        <v>4.6061511555642536</v>
      </c>
      <c r="AQ7">
        <v>5.0111885130332103</v>
      </c>
      <c r="AU7">
        <f t="shared" si="10"/>
        <v>2.1460834804918165</v>
      </c>
      <c r="AY7">
        <v>5.0094164564277364</v>
      </c>
      <c r="BC7">
        <f t="shared" si="11"/>
        <v>2.1461945754204703</v>
      </c>
    </row>
    <row r="8" spans="1:57">
      <c r="A8">
        <v>5</v>
      </c>
      <c r="D8" s="20"/>
      <c r="E8" s="19"/>
      <c r="F8" s="20"/>
      <c r="G8" s="20"/>
      <c r="H8" s="27"/>
      <c r="I8" s="23"/>
      <c r="J8" s="23"/>
      <c r="K8" s="20"/>
      <c r="L8" s="20"/>
      <c r="M8" s="20"/>
      <c r="N8" s="27"/>
      <c r="O8" s="20"/>
      <c r="P8" s="20"/>
      <c r="Q8" s="20"/>
      <c r="R8" s="20"/>
      <c r="S8" s="20"/>
      <c r="T8" s="20"/>
      <c r="U8" s="23">
        <f>Parameters!D23</f>
        <v>7.0583126136746943E-2</v>
      </c>
      <c r="V8" s="23">
        <f>(U8*$T$3)/(Parameters!B22*Parameters!$B$12)</f>
        <v>2.577383156572537E-3</v>
      </c>
      <c r="W8" s="27">
        <f>$T$3*U8</f>
        <v>31018888.35323019</v>
      </c>
      <c r="X8" s="23">
        <v>4.2527270739643942E-2</v>
      </c>
      <c r="Y8" s="46">
        <f>(X8*$T$3)/(Parameters!B23*Parameters!$B$12)</f>
        <v>1.1846740148622856E-3</v>
      </c>
      <c r="Z8" s="20">
        <f t="shared" si="2"/>
        <v>18689292.118981879</v>
      </c>
      <c r="AA8" s="15"/>
      <c r="AB8" s="15"/>
      <c r="AC8" s="20">
        <f>Parameters!B23*Parameters!$B$12</f>
        <v>15775894368</v>
      </c>
      <c r="AD8" s="20">
        <f>$AD$3*Parameters!F23</f>
        <v>11937496.250859786</v>
      </c>
      <c r="AE8" s="20">
        <f t="shared" si="0"/>
        <v>15756812975.897631</v>
      </c>
      <c r="AF8" s="20">
        <f t="shared" si="1"/>
        <v>15769142572.131878</v>
      </c>
      <c r="AG8" s="23">
        <f>($AA$3/10)+(Parameters!F24*$I$3)</f>
        <v>293943.96818181814</v>
      </c>
      <c r="AH8" s="20">
        <f t="shared" si="3"/>
        <v>53604.818201784983</v>
      </c>
      <c r="AI8" s="20">
        <f t="shared" si="4"/>
        <v>53646.763598081125</v>
      </c>
      <c r="AJ8" s="34">
        <f t="shared" si="5"/>
        <v>3.6194631705012368</v>
      </c>
      <c r="AK8" s="34">
        <f t="shared" si="6"/>
        <v>26.852018357667575</v>
      </c>
      <c r="AL8" s="34">
        <f t="shared" si="7"/>
        <v>4.7292038274614905</v>
      </c>
      <c r="AM8" s="38">
        <f t="shared" si="8"/>
        <v>3.619509267585721</v>
      </c>
      <c r="AN8" s="38">
        <f t="shared" si="12"/>
        <v>26.831903751833774</v>
      </c>
      <c r="AO8" s="38">
        <f t="shared" si="9"/>
        <v>4.7295435269750215</v>
      </c>
      <c r="AQ8">
        <v>5.1818933178585969</v>
      </c>
      <c r="AU8">
        <f t="shared" si="10"/>
        <v>2.1746732691283741</v>
      </c>
      <c r="AY8">
        <v>5.179952099376381</v>
      </c>
      <c r="BC8">
        <f t="shared" si="11"/>
        <v>2.1747513713008715</v>
      </c>
    </row>
    <row r="9" spans="1:57">
      <c r="A9">
        <v>6</v>
      </c>
      <c r="N9" s="29"/>
      <c r="O9" s="23"/>
      <c r="P9" s="23"/>
      <c r="Q9" s="23"/>
      <c r="R9" s="23"/>
      <c r="S9" s="23"/>
      <c r="T9" s="23"/>
      <c r="U9" s="23">
        <f>Parameters!D24</f>
        <v>9.0905110853151228E-2</v>
      </c>
      <c r="V9" s="23">
        <f>(U9*$T$3)/(Parameters!B23*Parameters!$B$12)</f>
        <v>2.5323262173396984E-3</v>
      </c>
      <c r="W9" s="27">
        <f>$T$3*U9</f>
        <v>39949710.910068095</v>
      </c>
      <c r="X9" s="23">
        <v>6.7619180713536689E-2</v>
      </c>
      <c r="Y9" s="46">
        <f>(X9*$T$3)/(Parameters!B24*Parameters!$B$12)</f>
        <v>1.5795653531497143E-3</v>
      </c>
      <c r="Z9" s="20">
        <f t="shared" si="2"/>
        <v>29716334.935724903</v>
      </c>
      <c r="AA9" s="15"/>
      <c r="AB9" s="15"/>
      <c r="AC9" s="20">
        <f>Parameters!B24*Parameters!$B$12</f>
        <v>18812982240</v>
      </c>
      <c r="AD9" s="20">
        <f>$AD$3*Parameters!F24</f>
        <v>9947913.5423831567</v>
      </c>
      <c r="AE9" s="20">
        <f t="shared" si="0"/>
        <v>18782980442.632313</v>
      </c>
      <c r="AF9" s="20">
        <f t="shared" si="1"/>
        <v>18793213818.606655</v>
      </c>
      <c r="AG9" s="23">
        <f>($AA$3/10)+(Parameters!F25*$I$3)</f>
        <v>289723.64454545453</v>
      </c>
      <c r="AH9" s="20">
        <f t="shared" si="3"/>
        <v>64830.678462922151</v>
      </c>
      <c r="AI9" s="20">
        <f t="shared" si="4"/>
        <v>64865.99962557837</v>
      </c>
      <c r="AJ9" s="34">
        <f t="shared" si="5"/>
        <v>3.6303974373974852</v>
      </c>
      <c r="AK9" s="34">
        <f t="shared" si="6"/>
        <v>27.945445047292417</v>
      </c>
      <c r="AL9" s="34">
        <f t="shared" si="7"/>
        <v>4.811780566584571</v>
      </c>
      <c r="AM9" s="38">
        <f t="shared" si="8"/>
        <v>3.6304279895945166</v>
      </c>
      <c r="AN9" s="38">
        <f t="shared" si="12"/>
        <v>27.923775952713335</v>
      </c>
      <c r="AO9" s="38">
        <f t="shared" si="9"/>
        <v>4.8120171152246947</v>
      </c>
      <c r="AQ9">
        <v>5.2863451502235845</v>
      </c>
      <c r="AU9">
        <f t="shared" si="10"/>
        <v>2.1935771166258484</v>
      </c>
      <c r="AY9">
        <v>5.2842952181642291</v>
      </c>
      <c r="BC9">
        <f t="shared" si="11"/>
        <v>2.1936310344323391</v>
      </c>
    </row>
    <row r="10" spans="1:57">
      <c r="A10">
        <v>7</v>
      </c>
      <c r="U10" s="23">
        <f>Parameters!D25</f>
        <v>0.11035602414482847</v>
      </c>
      <c r="V10" s="23">
        <f>(U10*$T$3)/(Parameters!B24*Parameters!$B$12)</f>
        <v>2.5778861916265178E-3</v>
      </c>
      <c r="W10" s="27">
        <f>$T$3*U10</f>
        <v>48497727.139810912</v>
      </c>
      <c r="X10" s="23">
        <v>9.8944895708799885E-2</v>
      </c>
      <c r="Y10" s="46">
        <f>(X10*$T$3)/(Parameters!B25*Parameters!$B$12)</f>
        <v>1.9744566914371431E-3</v>
      </c>
      <c r="Z10" s="20">
        <f t="shared" si="2"/>
        <v>43482923.484674111</v>
      </c>
      <c r="AC10" s="20">
        <f>Parameters!B25*Parameters!$B$12</f>
        <v>22022728416</v>
      </c>
      <c r="AD10" s="20">
        <f>$AD$3*Parameters!F25</f>
        <v>7958330.8339065248</v>
      </c>
      <c r="AE10" s="20">
        <f t="shared" si="0"/>
        <v>21982189019.694096</v>
      </c>
      <c r="AF10" s="20">
        <f t="shared" si="1"/>
        <v>21987203823.349236</v>
      </c>
      <c r="AG10" s="23">
        <f>($AA$3/10)+(Parameters!F26*$I$3)</f>
        <v>285503.32090909086</v>
      </c>
      <c r="AH10" s="20">
        <f t="shared" si="3"/>
        <v>76994.512532110268</v>
      </c>
      <c r="AI10" s="20">
        <f t="shared" si="4"/>
        <v>77012.077314331269</v>
      </c>
      <c r="AJ10" s="34">
        <f t="shared" si="5"/>
        <v>3.6398310994116434</v>
      </c>
      <c r="AK10" s="34">
        <f t="shared" si="6"/>
        <v>28.888811248708237</v>
      </c>
      <c r="AL10" s="34">
        <f t="shared" si="7"/>
        <v>4.8864597737186157</v>
      </c>
      <c r="AM10" s="38">
        <f t="shared" si="8"/>
        <v>3.639843335456014</v>
      </c>
      <c r="AN10" s="38">
        <f t="shared" si="12"/>
        <v>28.865310538863078</v>
      </c>
      <c r="AO10" s="38">
        <f t="shared" si="9"/>
        <v>4.8865588381552101</v>
      </c>
      <c r="AQ10">
        <v>5.374831276301447</v>
      </c>
      <c r="AU10">
        <f t="shared" si="10"/>
        <v>2.2105338209850163</v>
      </c>
      <c r="AY10">
        <v>5.3726446503433554</v>
      </c>
      <c r="BC10">
        <f t="shared" si="11"/>
        <v>2.2105562282274591</v>
      </c>
    </row>
    <row r="11" spans="1:57">
      <c r="A11">
        <v>8</v>
      </c>
      <c r="U11" s="23">
        <f>Parameters!D26</f>
        <v>0.13623161609900061</v>
      </c>
      <c r="V11" s="23">
        <f>(U11*$T$3)/(Parameters!B25*Parameters!$B$12)</f>
        <v>2.7185174542363492E-3</v>
      </c>
      <c r="W11" s="27">
        <f>$T$3*U11</f>
        <v>59869171.588802829</v>
      </c>
      <c r="X11" s="23">
        <v>0.14151958217119773</v>
      </c>
      <c r="Y11" s="46">
        <f>(X11*$T$3)/(Parameters!B26*Parameters!$B$12)</f>
        <v>2.3693480297245712E-3</v>
      </c>
      <c r="Z11" s="20">
        <f t="shared" si="2"/>
        <v>62193053.204521693</v>
      </c>
      <c r="AC11" s="20">
        <f>Parameters!B26*Parameters!$B$12</f>
        <v>26249015520</v>
      </c>
      <c r="AD11" s="20">
        <f>$AD$3*Parameters!F26</f>
        <v>5968748.1254298929</v>
      </c>
      <c r="AE11" s="20">
        <f t="shared" si="0"/>
        <v>26195115096.536629</v>
      </c>
      <c r="AF11" s="20">
        <f t="shared" si="1"/>
        <v>26192791214.92091</v>
      </c>
      <c r="AG11" s="23">
        <f>($AA$3/10)+(Parameters!F27*$I$3)</f>
        <v>281282.99727272725</v>
      </c>
      <c r="AH11" s="20">
        <f t="shared" si="3"/>
        <v>93127.260981005136</v>
      </c>
      <c r="AI11" s="20">
        <f t="shared" si="4"/>
        <v>93118.999260111057</v>
      </c>
      <c r="AJ11" s="34">
        <f t="shared" si="5"/>
        <v>3.6497876731227095</v>
      </c>
      <c r="AK11" s="34">
        <f t="shared" si="6"/>
        <v>29.884468619814839</v>
      </c>
      <c r="AL11" s="34">
        <f t="shared" si="7"/>
        <v>4.9690768298600192</v>
      </c>
      <c r="AM11" s="38">
        <f t="shared" si="8"/>
        <v>3.6497831435421597</v>
      </c>
      <c r="AN11" s="38">
        <f t="shared" si="12"/>
        <v>29.859291347477644</v>
      </c>
      <c r="AO11" s="38">
        <f t="shared" si="9"/>
        <v>4.9690383000147165</v>
      </c>
      <c r="AQ11">
        <v>5.4666688778281456</v>
      </c>
      <c r="AU11">
        <f t="shared" si="10"/>
        <v>2.2291426221442223</v>
      </c>
      <c r="AY11">
        <v>5.4643655942366856</v>
      </c>
      <c r="BC11">
        <f t="shared" si="11"/>
        <v>2.2291339798259586</v>
      </c>
    </row>
    <row r="12" spans="1:57">
      <c r="A12">
        <v>9</v>
      </c>
      <c r="U12" s="23">
        <f>Parameters!D27</f>
        <v>0.17539672338276532</v>
      </c>
      <c r="V12" s="23">
        <f>(U12*$T$3)/(Parameters!B26*Parameters!$B$12)</f>
        <v>2.9365256354726525E-3</v>
      </c>
      <c r="W12" s="27">
        <f>$T$3*U12</f>
        <v>77080906.980399519</v>
      </c>
      <c r="X12" s="23">
        <v>0.20548666221606829</v>
      </c>
      <c r="Y12" s="46">
        <f>(X12*$T$3)/(Parameters!B27*Parameters!$B$12)</f>
        <v>2.7642393680120001E-3</v>
      </c>
      <c r="Z12" s="20">
        <f t="shared" si="2"/>
        <v>90304413.848280028</v>
      </c>
      <c r="AC12" s="20">
        <f>Parameters!B27*Parameters!$B$12</f>
        <v>32668811136</v>
      </c>
      <c r="AD12" s="20">
        <f>$AD$3*Parameters!F27</f>
        <v>3979165.4169532624</v>
      </c>
      <c r="AE12" s="20">
        <f t="shared" si="0"/>
        <v>32595709394.436554</v>
      </c>
      <c r="AF12" s="20">
        <f t="shared" si="1"/>
        <v>32582485887.568672</v>
      </c>
      <c r="AG12" s="23">
        <f>($AA$3/10)+(Parameters!F28*$I$3)</f>
        <v>277062.67363636359</v>
      </c>
      <c r="AH12" s="20">
        <f t="shared" si="3"/>
        <v>117647.42239229757</v>
      </c>
      <c r="AI12" s="20">
        <f t="shared" si="4"/>
        <v>117599.69489911226</v>
      </c>
      <c r="AJ12" s="34">
        <f t="shared" si="5"/>
        <v>3.6613652254744786</v>
      </c>
      <c r="AK12" s="34">
        <f t="shared" si="6"/>
        <v>31.042223854991757</v>
      </c>
      <c r="AL12" s="34">
        <f t="shared" si="7"/>
        <v>5.0705824163988664</v>
      </c>
      <c r="AM12" s="38">
        <f t="shared" si="8"/>
        <v>3.6613457294619018</v>
      </c>
      <c r="AN12" s="38">
        <f t="shared" si="12"/>
        <v>31.015549939451859</v>
      </c>
      <c r="AO12" s="38">
        <f t="shared" si="9"/>
        <v>5.0704061950070933</v>
      </c>
      <c r="AQ12">
        <v>5.5715548866534341</v>
      </c>
      <c r="AU12">
        <f t="shared" si="10"/>
        <v>2.2517953762273484</v>
      </c>
      <c r="AY12">
        <v>5.5691606135441862</v>
      </c>
      <c r="BC12">
        <f t="shared" si="11"/>
        <v>2.2517562468009484</v>
      </c>
    </row>
    <row r="13" spans="1:57">
      <c r="A13">
        <v>10</v>
      </c>
      <c r="U13" s="23">
        <f>Parameters!D28</f>
        <v>0.31542540330404345</v>
      </c>
      <c r="V13" s="23">
        <f>(U13*$T$3)/(Parameters!B27*Parameters!$B$12)</f>
        <v>4.2431528551828274E-3</v>
      </c>
      <c r="W13" s="27">
        <f>$T$3*U13</f>
        <v>138618759.24714693</v>
      </c>
      <c r="X13" s="23">
        <v>0.40870536319512574</v>
      </c>
      <c r="Y13" s="46">
        <f>(X13*$T$3)/(Parameters!B28*Parameters!$B$12)</f>
        <v>3.1591307062994287E-3</v>
      </c>
      <c r="Z13" s="20">
        <f t="shared" si="2"/>
        <v>179612135.70725942</v>
      </c>
      <c r="AC13" s="20">
        <f>Parameters!B28*Parameters!$B$12</f>
        <v>56854923840</v>
      </c>
      <c r="AD13" s="20">
        <f>$AD$3*Parameters!F28</f>
        <v>1989582.7084766312</v>
      </c>
      <c r="AE13" s="20">
        <f t="shared" si="0"/>
        <v>56718294663.461327</v>
      </c>
      <c r="AF13" s="20">
        <f t="shared" si="1"/>
        <v>56677301287.001213</v>
      </c>
      <c r="AG13" s="23">
        <f>($AA$3/10)+(Parameters!F29*$I$3)</f>
        <v>272842.34999999998</v>
      </c>
      <c r="AH13" s="20">
        <f t="shared" si="3"/>
        <v>207879.36573431996</v>
      </c>
      <c r="AI13" s="20">
        <f t="shared" si="4"/>
        <v>207729.12008345191</v>
      </c>
      <c r="AJ13" s="34">
        <f t="shared" si="5"/>
        <v>3.686787838737275</v>
      </c>
      <c r="AK13" s="34">
        <f t="shared" si="6"/>
        <v>33.584485181271397</v>
      </c>
      <c r="AL13" s="34">
        <f t="shared" si="7"/>
        <v>5.3178113830666138</v>
      </c>
      <c r="AM13" s="38">
        <f t="shared" si="8"/>
        <v>3.6867578776631595</v>
      </c>
      <c r="AN13" s="38">
        <f t="shared" si="12"/>
        <v>33.556764759577632</v>
      </c>
      <c r="AO13" s="38">
        <f t="shared" si="9"/>
        <v>5.3174973814897886</v>
      </c>
      <c r="AQ13">
        <v>5.7952122636941779</v>
      </c>
      <c r="AU13">
        <f t="shared" si="10"/>
        <v>2.3060380272377587</v>
      </c>
      <c r="AY13">
        <v>5.7928201041960241</v>
      </c>
      <c r="BC13">
        <f t="shared" si="11"/>
        <v>2.3059699437524741</v>
      </c>
    </row>
    <row r="14" spans="1:57">
      <c r="I14" s="39"/>
      <c r="U14" s="45"/>
    </row>
    <row r="15" spans="1:57">
      <c r="A15" s="14" t="s">
        <v>475</v>
      </c>
      <c r="B15" s="48" t="s">
        <v>424</v>
      </c>
      <c r="C15" s="48"/>
      <c r="D15" s="48" t="s">
        <v>432</v>
      </c>
      <c r="E15" s="48"/>
      <c r="F15" s="48"/>
      <c r="G15" s="48"/>
      <c r="H15" s="49"/>
      <c r="I15" s="48"/>
      <c r="J15" s="48"/>
      <c r="K15" s="48"/>
      <c r="L15" s="48"/>
      <c r="M15" s="48"/>
      <c r="N15" s="48"/>
      <c r="O15" s="30"/>
      <c r="P15" s="30"/>
      <c r="Q15" s="30"/>
      <c r="R15" s="30"/>
      <c r="S15" s="30"/>
      <c r="T15" s="30"/>
      <c r="U15" s="48" t="s">
        <v>433</v>
      </c>
      <c r="V15" s="48"/>
      <c r="W15" s="48"/>
      <c r="X15" s="48" t="s">
        <v>434</v>
      </c>
      <c r="Y15" s="48"/>
      <c r="Z15" s="48"/>
      <c r="AA15" s="48" t="s">
        <v>476</v>
      </c>
      <c r="AB15" s="48"/>
      <c r="AC15" s="48" t="s">
        <v>435</v>
      </c>
      <c r="AD15" s="48"/>
      <c r="AE15" s="14" t="s">
        <v>436</v>
      </c>
      <c r="AF15" s="30" t="s">
        <v>437</v>
      </c>
      <c r="AG15" s="14" t="s">
        <v>477</v>
      </c>
      <c r="AH15" s="14" t="s">
        <v>478</v>
      </c>
      <c r="AI15" s="30" t="s">
        <v>479</v>
      </c>
      <c r="AJ15" s="48" t="s">
        <v>438</v>
      </c>
      <c r="AK15" s="48"/>
      <c r="AL15" s="48"/>
      <c r="AM15" s="48" t="s">
        <v>439</v>
      </c>
      <c r="AN15" s="48"/>
      <c r="AO15" s="48"/>
      <c r="AP15" s="48" t="s">
        <v>493</v>
      </c>
      <c r="AQ15" s="48"/>
      <c r="AR15" s="48"/>
      <c r="AS15" s="48"/>
      <c r="AT15" s="48" t="s">
        <v>481</v>
      </c>
      <c r="AU15" s="48"/>
      <c r="AV15" s="48"/>
      <c r="AW15" s="48"/>
      <c r="AX15" s="48" t="s">
        <v>494</v>
      </c>
      <c r="AY15" s="48"/>
      <c r="AZ15" s="48"/>
      <c r="BA15" s="48"/>
      <c r="BB15" s="48" t="s">
        <v>482</v>
      </c>
      <c r="BC15" s="48"/>
      <c r="BD15" s="48"/>
      <c r="BE15" s="48"/>
    </row>
    <row r="16" spans="1:57">
      <c r="A16" s="24"/>
      <c r="B16" s="24" t="s">
        <v>424</v>
      </c>
      <c r="C16" s="24" t="s">
        <v>444</v>
      </c>
      <c r="D16" s="24" t="s">
        <v>445</v>
      </c>
      <c r="E16" s="24" t="s">
        <v>446</v>
      </c>
      <c r="F16" s="24" t="s">
        <v>447</v>
      </c>
      <c r="G16" s="24" t="s">
        <v>448</v>
      </c>
      <c r="H16" s="26" t="s">
        <v>449</v>
      </c>
      <c r="I16" s="24" t="s">
        <v>483</v>
      </c>
      <c r="J16" s="24" t="s">
        <v>451</v>
      </c>
      <c r="K16" s="24" t="s">
        <v>452</v>
      </c>
      <c r="L16" s="24" t="s">
        <v>453</v>
      </c>
      <c r="M16" s="24" t="s">
        <v>454</v>
      </c>
      <c r="N16" s="26" t="s">
        <v>484</v>
      </c>
      <c r="O16" s="24" t="s">
        <v>450</v>
      </c>
      <c r="P16" s="24" t="s">
        <v>451</v>
      </c>
      <c r="Q16" s="24" t="s">
        <v>452</v>
      </c>
      <c r="R16" s="24" t="s">
        <v>453</v>
      </c>
      <c r="S16" s="24" t="s">
        <v>454</v>
      </c>
      <c r="T16" s="26" t="s">
        <v>455</v>
      </c>
      <c r="U16" s="24" t="s">
        <v>456</v>
      </c>
      <c r="V16" s="24" t="s">
        <v>485</v>
      </c>
      <c r="W16" s="26" t="s">
        <v>458</v>
      </c>
      <c r="X16" s="24" t="s">
        <v>456</v>
      </c>
      <c r="Y16" s="24" t="s">
        <v>485</v>
      </c>
      <c r="Z16" s="24" t="s">
        <v>458</v>
      </c>
      <c r="AA16" s="24" t="s">
        <v>486</v>
      </c>
      <c r="AB16" s="24" t="s">
        <v>487</v>
      </c>
      <c r="AC16" s="24" t="s">
        <v>488</v>
      </c>
      <c r="AD16" s="24" t="s">
        <v>460</v>
      </c>
      <c r="AE16" s="24" t="s">
        <v>461</v>
      </c>
      <c r="AF16" s="24" t="s">
        <v>461</v>
      </c>
      <c r="AG16" s="24"/>
      <c r="AH16" s="24"/>
      <c r="AI16" s="24"/>
      <c r="AJ16" s="24" t="s">
        <v>462</v>
      </c>
      <c r="AK16" s="24" t="s">
        <v>489</v>
      </c>
      <c r="AL16" s="24" t="s">
        <v>490</v>
      </c>
      <c r="AM16" s="24" t="s">
        <v>462</v>
      </c>
      <c r="AN16" s="24" t="s">
        <v>491</v>
      </c>
      <c r="AO16" s="24" t="s">
        <v>492</v>
      </c>
      <c r="AP16" s="32" t="s">
        <v>464</v>
      </c>
      <c r="AQ16" s="24" t="s">
        <v>465</v>
      </c>
      <c r="AR16" s="24" t="s">
        <v>466</v>
      </c>
      <c r="AS16" s="24" t="s">
        <v>467</v>
      </c>
      <c r="AT16" s="32" t="s">
        <v>464</v>
      </c>
      <c r="AU16" s="24" t="s">
        <v>465</v>
      </c>
      <c r="AV16" s="24" t="s">
        <v>466</v>
      </c>
      <c r="AW16" s="24" t="s">
        <v>467</v>
      </c>
      <c r="AX16" s="24" t="s">
        <v>464</v>
      </c>
      <c r="AY16" s="24" t="s">
        <v>465</v>
      </c>
      <c r="AZ16" s="24" t="s">
        <v>466</v>
      </c>
      <c r="BA16" s="24" t="s">
        <v>467</v>
      </c>
      <c r="BB16" s="24" t="s">
        <v>464</v>
      </c>
      <c r="BC16" s="24" t="s">
        <v>465</v>
      </c>
      <c r="BD16" s="24" t="s">
        <v>466</v>
      </c>
      <c r="BE16" s="24" t="s">
        <v>467</v>
      </c>
    </row>
    <row r="17" spans="1:57">
      <c r="A17" t="s">
        <v>468</v>
      </c>
      <c r="B17">
        <v>2040</v>
      </c>
      <c r="C17">
        <v>15</v>
      </c>
      <c r="D17" s="20">
        <f>Parameters!$B$7</f>
        <v>538.41999999999996</v>
      </c>
      <c r="E17">
        <f>Parameters!$B$8</f>
        <v>414.17</v>
      </c>
      <c r="F17" s="19">
        <f>Parameters!$B$12</f>
        <v>1.01088</v>
      </c>
      <c r="G17" s="20">
        <f>D17*POWER(F17,C17)</f>
        <v>633.30839805349137</v>
      </c>
      <c r="H17" s="27">
        <f>E17*POWER(F17,C17)</f>
        <v>487.16121099107494</v>
      </c>
      <c r="I17" s="23">
        <f>Parameters!B5*'Population Projections'!B4</f>
        <v>320687.09999999998</v>
      </c>
      <c r="J17" s="23">
        <f>I17*Parameters!$B$14</f>
        <v>134688.58199999999</v>
      </c>
      <c r="K17" s="23">
        <f>I17*Parameters!$B$13</f>
        <v>185998.51799999998</v>
      </c>
      <c r="L17" s="23">
        <f>J17*G17</f>
        <v>85299410.102516308</v>
      </c>
      <c r="M17" s="23">
        <f>K17*H17</f>
        <v>90611263.271425247</v>
      </c>
      <c r="N17" s="29">
        <f>M17+L17</f>
        <v>175910673.37394154</v>
      </c>
      <c r="O17" s="23">
        <f>'Population Projections'!B4</f>
        <v>1287900</v>
      </c>
      <c r="P17" s="23">
        <f>O17*Parameters!$B$14</f>
        <v>540918</v>
      </c>
      <c r="Q17" s="23">
        <f>O17*Parameters!$B$13</f>
        <v>746982</v>
      </c>
      <c r="R17" s="23">
        <f>P17*G17</f>
        <v>342567912.05829847</v>
      </c>
      <c r="S17" s="23">
        <f>Q17*H17</f>
        <v>363900655.70853513</v>
      </c>
      <c r="T17" s="29">
        <f>S17+R17</f>
        <v>706468567.76683354</v>
      </c>
      <c r="Z17" s="20">
        <f>SUM(Z18:Z27)</f>
        <v>706468567.76683354</v>
      </c>
      <c r="AA17" s="15">
        <f>'Population Projections'!C4*Parameters!B4</f>
        <v>3054491</v>
      </c>
      <c r="AB17" s="15">
        <f>AA17+I17</f>
        <v>3375178.1</v>
      </c>
      <c r="AC17" s="20">
        <f>SUM(AC18:AC27)</f>
        <v>228656537009.03488</v>
      </c>
      <c r="AD17" s="20">
        <f>N17</f>
        <v>175910673.37394154</v>
      </c>
      <c r="AE17" s="20">
        <f>AC17+AD17-W17</f>
        <v>228832447682.40881</v>
      </c>
      <c r="AF17" s="20">
        <f>AC17+AD17-Z17</f>
        <v>228125979114.64197</v>
      </c>
      <c r="AG17" s="20"/>
      <c r="AH17" s="20"/>
      <c r="AI17" s="20"/>
      <c r="AP17" s="33">
        <f>SUM(AK18:AK27)</f>
        <v>242.72755986647778</v>
      </c>
      <c r="AR17">
        <f>SUM(AQ18:AQ27)</f>
        <v>46.514193459430828</v>
      </c>
      <c r="AS17" s="31">
        <f>MIN(AJ18:AJ27)</f>
        <v>3.3496683967587244</v>
      </c>
      <c r="AT17" s="31">
        <f>SUM(AL18:AL27)</f>
        <v>46.316960570066364</v>
      </c>
      <c r="AU17" s="31"/>
      <c r="AV17" s="31">
        <f>SUM(AU18:AU27)</f>
        <v>21.484465307922818</v>
      </c>
      <c r="AW17" s="31">
        <f>MIN(AL18:AL27)</f>
        <v>3.4196927960469812</v>
      </c>
      <c r="AX17" s="38">
        <f>SUM(AN18:AN27)</f>
        <v>242.46075989510001</v>
      </c>
      <c r="AZ17" s="38">
        <f>SUM(AY18:AY27)</f>
        <v>46.488678305761084</v>
      </c>
      <c r="BA17" s="38">
        <f>MIN(AM18:AM27)</f>
        <v>3.3500121167947654</v>
      </c>
      <c r="BB17" s="38">
        <f>SUM(AO18:AO27)</f>
        <v>46.320507964388014</v>
      </c>
      <c r="BD17">
        <f>SUM(BC17:BC27)</f>
        <v>21.485356807460953</v>
      </c>
      <c r="BE17" s="38">
        <f>MIN(AO18:AO27)</f>
        <v>3.4208495997302029</v>
      </c>
    </row>
    <row r="18" spans="1:57">
      <c r="A18">
        <v>1</v>
      </c>
      <c r="D18" s="20"/>
      <c r="F18" s="19"/>
      <c r="G18" s="20"/>
      <c r="H18" s="27"/>
      <c r="I18" s="23"/>
      <c r="J18" s="23"/>
      <c r="K18" s="23"/>
      <c r="L18" s="23"/>
      <c r="M18" s="23"/>
      <c r="N18" s="29"/>
      <c r="O18" s="23"/>
      <c r="P18" s="23"/>
      <c r="Q18" s="23"/>
      <c r="R18" s="23"/>
      <c r="S18" s="23"/>
      <c r="T18" s="23"/>
      <c r="U18" s="31" cm="1">
        <f t="array" ref="U18:U27">Parameters!D19:D28</f>
        <v>3.6096393698449797E-3</v>
      </c>
      <c r="V18" s="31">
        <f>(U18*$T$17)/(Parameters!B19*POWER(Parameters!$B$12, $C$17))</f>
        <v>2.7164723230980463E-3</v>
      </c>
      <c r="W18" s="27">
        <f>$T$17*U18</f>
        <v>2550096.7557691582</v>
      </c>
      <c r="X18" s="23">
        <f>Parameters!E19</f>
        <v>0</v>
      </c>
      <c r="Y18" s="23">
        <f>(X18*$T$17)/(Parameters!B19*POWER(Parameters!$B$12, $C$17))</f>
        <v>0</v>
      </c>
      <c r="Z18" s="20">
        <f>$T$17*X18</f>
        <v>0</v>
      </c>
      <c r="AA18" s="15"/>
      <c r="AB18" s="15"/>
      <c r="AC18" s="20">
        <f>Parameters!B19*POWER(Parameters!$B$12, $C$17)</f>
        <v>938753078.42667723</v>
      </c>
      <c r="AD18" s="20">
        <f>$AD$3*Parameters!F19</f>
        <v>19895827.084766313</v>
      </c>
      <c r="AE18" s="20">
        <f>AC18+AD18-W18</f>
        <v>956098808.75567436</v>
      </c>
      <c r="AF18" s="20">
        <f t="shared" ref="AF18:AF27" si="13">AC18+AD18-Z18</f>
        <v>958648905.5114435</v>
      </c>
      <c r="AG18" s="23">
        <f>($AA$17/10) + (Parameters!F19*$I$17)</f>
        <v>363755.84545454546</v>
      </c>
      <c r="AH18" s="20">
        <f>AE18/AG18</f>
        <v>2628.4080948883266</v>
      </c>
      <c r="AI18" s="20">
        <f>AF18/AG18</f>
        <v>2635.4185575039378</v>
      </c>
      <c r="AJ18" s="34">
        <f>(POWER(AH18, -0.26) - 1)/-0.26</f>
        <v>3.3496683967587244</v>
      </c>
      <c r="AK18" s="34">
        <f>(AJ18-$AJ$18)*100</f>
        <v>0</v>
      </c>
      <c r="AL18" s="34">
        <f>LOG(AH18)</f>
        <v>3.4196927960469812</v>
      </c>
      <c r="AM18" s="38">
        <f>(POWER(AI18, -0.26) - 1)/-0.26</f>
        <v>3.3500121167947654</v>
      </c>
      <c r="AN18" s="38">
        <f>(AM18-$AM$18)*100</f>
        <v>0</v>
      </c>
      <c r="AO18" s="38">
        <f>LOG(AI18)</f>
        <v>3.4208495997302029</v>
      </c>
      <c r="AQ18" cm="1">
        <f t="array" ref="AQ18:AQ27">SQRT(AK18:AK27)</f>
        <v>0</v>
      </c>
      <c r="AU18">
        <f>SQRT(AL18)</f>
        <v>1.8492411405890203</v>
      </c>
      <c r="AY18" cm="1">
        <f t="array" ref="AY18:AY27">SQRT(AN18:AN27)</f>
        <v>0</v>
      </c>
      <c r="BC18">
        <f>SQRT(AO18)</f>
        <v>1.8495538920859276</v>
      </c>
    </row>
    <row r="19" spans="1:57">
      <c r="A19">
        <v>2</v>
      </c>
      <c r="D19" s="20"/>
      <c r="F19" s="19"/>
      <c r="G19" s="20"/>
      <c r="H19" s="27"/>
      <c r="I19" s="23"/>
      <c r="J19" s="23"/>
      <c r="K19" s="23"/>
      <c r="L19" s="23"/>
      <c r="M19" s="23"/>
      <c r="N19" s="29"/>
      <c r="O19" s="23"/>
      <c r="P19" s="23"/>
      <c r="Q19" s="23"/>
      <c r="R19" s="23"/>
      <c r="S19" s="23"/>
      <c r="T19" s="23"/>
      <c r="U19" s="23">
        <v>1.4401036406566694E-2</v>
      </c>
      <c r="V19" s="31">
        <f>(U19*$T$17)/(Parameters!B20*POWER(Parameters!$B$12, $C$17))</f>
        <v>2.3904956443262806E-3</v>
      </c>
      <c r="W19" s="27">
        <f t="shared" ref="W19:W27" si="14">$T$17*U19</f>
        <v>10173879.564505199</v>
      </c>
      <c r="X19" s="23">
        <f>Parameters!E20</f>
        <v>3.2866725984765288E-3</v>
      </c>
      <c r="Y19" s="23">
        <f>(X19*$T$17)/(Parameters!B20*POWER(Parameters!$B$12, $C$17))</f>
        <v>5.4557021516882546E-4</v>
      </c>
      <c r="Z19" s="20">
        <f t="shared" ref="Z19:Z27" si="15">$T$17*X19</f>
        <v>2321930.8833642104</v>
      </c>
      <c r="AA19" s="15"/>
      <c r="AB19" s="15"/>
      <c r="AC19" s="20">
        <f>Parameters!B20*POWER(Parameters!$B$12, $C$17)</f>
        <v>4255970760.1444006</v>
      </c>
      <c r="AD19" s="20">
        <f>$AD$3*Parameters!F20</f>
        <v>17906244.376289681</v>
      </c>
      <c r="AE19" s="20">
        <f t="shared" ref="AE18:AE27" si="16">AC19+AD19-W19</f>
        <v>4263703124.9561853</v>
      </c>
      <c r="AF19" s="20">
        <f t="shared" si="13"/>
        <v>4271555073.6373262</v>
      </c>
      <c r="AG19" s="23">
        <f>($AA$17/10) + (Parameters!F20*$I$17)</f>
        <v>357925.1709090909</v>
      </c>
      <c r="AH19" s="20">
        <f t="shared" ref="AH19:AH27" si="17">AE19/AG19</f>
        <v>11912.275166697118</v>
      </c>
      <c r="AI19" s="20">
        <f t="shared" ref="AI19:AI27" si="18">AF19/AG19</f>
        <v>11934.212569593925</v>
      </c>
      <c r="AJ19" s="34">
        <f>(POWER(AH19, -0.26) - 1)/-0.26</f>
        <v>3.5109816186406428</v>
      </c>
      <c r="AK19" s="34">
        <f t="shared" ref="AK19:AK27" si="19">(AJ19-$AJ$18)*100</f>
        <v>16.131322188191845</v>
      </c>
      <c r="AL19" s="34">
        <f t="shared" ref="AL19:AL27" si="20">LOG(AH19)</f>
        <v>4.0759947168124473</v>
      </c>
      <c r="AM19" s="38">
        <f t="shared" ref="AM19:AM27" si="21">(POWER(AI19, -0.26) - 1)/-0.26</f>
        <v>3.5111419167529978</v>
      </c>
      <c r="AN19" s="38">
        <f t="shared" ref="AN19:AN27" si="22">(AM19-$AM$18)*100</f>
        <v>16.112979995823238</v>
      </c>
      <c r="AO19" s="38">
        <f t="shared" ref="AO19:AO27" si="23">LOG(AI19)</f>
        <v>4.0767937691356542</v>
      </c>
      <c r="AQ19">
        <v>4.0163817283958263</v>
      </c>
      <c r="AU19">
        <f t="shared" ref="AU19:AU27" si="24">SQRT(AL19)</f>
        <v>2.0189092889014226</v>
      </c>
      <c r="AY19">
        <v>4.0140976564880981</v>
      </c>
      <c r="BC19">
        <f t="shared" ref="BC19:BC27" si="25">SQRT(AO19)</f>
        <v>2.0191071712852824</v>
      </c>
    </row>
    <row r="20" spans="1:57">
      <c r="A20">
        <v>3</v>
      </c>
      <c r="D20" s="20"/>
      <c r="F20" s="19"/>
      <c r="G20" s="20"/>
      <c r="H20" s="27"/>
      <c r="I20" s="23"/>
      <c r="J20" s="23"/>
      <c r="K20" s="23"/>
      <c r="L20" s="23"/>
      <c r="M20" s="23"/>
      <c r="N20" s="29"/>
      <c r="O20" s="23"/>
      <c r="P20" s="23"/>
      <c r="Q20" s="23"/>
      <c r="R20" s="23"/>
      <c r="S20" s="23"/>
      <c r="T20" s="23"/>
      <c r="U20" s="23">
        <v>3.1399077404942015E-2</v>
      </c>
      <c r="V20" s="31">
        <f>(U20*$T$17)/(Parameters!B21*POWER(Parameters!$B$12, $C$17))</f>
        <v>2.4991545372502026E-3</v>
      </c>
      <c r="W20" s="27">
        <f t="shared" si="14"/>
        <v>22182461.243469331</v>
      </c>
      <c r="X20" s="23">
        <f>Parameters!E21</f>
        <v>1.0281717973370259E-2</v>
      </c>
      <c r="Y20" s="23">
        <f>(X20*$T$17)/(Parameters!B21*POWER(Parameters!$B$12, $C$17))</f>
        <v>8.1835532275323852E-4</v>
      </c>
      <c r="Z20" s="20">
        <f t="shared" si="15"/>
        <v>7263710.5708293971</v>
      </c>
      <c r="AA20" s="15"/>
      <c r="AB20" s="15"/>
      <c r="AC20" s="20">
        <f>Parameters!B21*POWER(Parameters!$B$12, $C$17)</f>
        <v>8875986223.6756649</v>
      </c>
      <c r="AD20" s="20">
        <f>$AD$3*Parameters!F21</f>
        <v>15916661.66781305</v>
      </c>
      <c r="AE20" s="20">
        <f t="shared" si="16"/>
        <v>8869720424.100008</v>
      </c>
      <c r="AF20" s="20">
        <f t="shared" si="13"/>
        <v>8884639174.7726479</v>
      </c>
      <c r="AG20" s="23">
        <f>($AA$17/10) + (Parameters!F21*$I$17)</f>
        <v>352094.49636363634</v>
      </c>
      <c r="AH20" s="20">
        <f t="shared" si="17"/>
        <v>25191.306639850267</v>
      </c>
      <c r="AI20" s="20">
        <f t="shared" si="18"/>
        <v>25233.678079411857</v>
      </c>
      <c r="AJ20" s="34">
        <f>(POWER(AH20, -0.26) - 1)/-0.26</f>
        <v>3.5702857539401522</v>
      </c>
      <c r="AK20" s="34">
        <f t="shared" si="19"/>
        <v>22.061735718142785</v>
      </c>
      <c r="AL20" s="34">
        <f t="shared" si="20"/>
        <v>4.4012506943643173</v>
      </c>
      <c r="AM20" s="38">
        <f t="shared" si="21"/>
        <v>3.5704062679349127</v>
      </c>
      <c r="AN20" s="38">
        <f t="shared" si="22"/>
        <v>22.039415114014727</v>
      </c>
      <c r="AO20" s="38">
        <f t="shared" si="23"/>
        <v>4.4019805582135731</v>
      </c>
      <c r="AQ20">
        <v>4.6969921990719534</v>
      </c>
      <c r="AU20">
        <f t="shared" si="24"/>
        <v>2.0979157977298128</v>
      </c>
      <c r="AY20">
        <v>4.6946155448571849</v>
      </c>
      <c r="BC20">
        <f t="shared" si="25"/>
        <v>2.0980897402669823</v>
      </c>
    </row>
    <row r="21" spans="1:57">
      <c r="A21">
        <v>4</v>
      </c>
      <c r="D21" s="20"/>
      <c r="F21" s="19"/>
      <c r="G21" s="20"/>
      <c r="H21" s="20"/>
      <c r="I21" s="23"/>
      <c r="J21" s="23"/>
      <c r="K21" s="23"/>
      <c r="L21" s="23"/>
      <c r="M21" s="23"/>
      <c r="N21" s="23"/>
      <c r="O21" s="23"/>
      <c r="P21" s="23"/>
      <c r="Q21" s="23"/>
      <c r="R21" s="23"/>
      <c r="S21" s="23"/>
      <c r="T21" s="23"/>
      <c r="U21" s="23">
        <v>5.1692242898110294E-2</v>
      </c>
      <c r="V21" s="31">
        <f>(U21*$T$17)/(Parameters!B22*POWER(Parameters!$B$12, $C$17))</f>
        <v>2.6078134301741242E-3</v>
      </c>
      <c r="W21" s="27">
        <f t="shared" si="14"/>
        <v>36518944.804883249</v>
      </c>
      <c r="X21" s="23">
        <f>Parameters!E22</f>
        <v>2.162865468378096E-2</v>
      </c>
      <c r="Y21" s="23">
        <f>(X21*$T$17)/(Parameters!B22*POWER(Parameters!$B$12, $C$17))</f>
        <v>1.0911404303376514E-3</v>
      </c>
      <c r="Z21" s="20">
        <f t="shared" si="15"/>
        <v>15279964.69717415</v>
      </c>
      <c r="AA21" s="15"/>
      <c r="AB21" s="15"/>
      <c r="AC21" s="20">
        <f>Parameters!B22*POWER(Parameters!$B$12, $C$17)</f>
        <v>14003664672.608452</v>
      </c>
      <c r="AD21" s="20">
        <f>$AD$3*Parameters!F22</f>
        <v>13927078.959336417</v>
      </c>
      <c r="AE21" s="20">
        <f t="shared" si="16"/>
        <v>13981072806.762905</v>
      </c>
      <c r="AF21" s="20">
        <f t="shared" si="13"/>
        <v>14002311786.870615</v>
      </c>
      <c r="AG21" s="23">
        <f>($AA$17/10) + (Parameters!F22*$I$17)</f>
        <v>346263.82181818178</v>
      </c>
      <c r="AH21" s="20">
        <f t="shared" si="17"/>
        <v>40376.937831247553</v>
      </c>
      <c r="AI21" s="20">
        <f t="shared" si="18"/>
        <v>40438.275397488767</v>
      </c>
      <c r="AJ21" s="34">
        <f>(POWER(AH21, -0.26) - 1)/-0.26</f>
        <v>3.6021301654623179</v>
      </c>
      <c r="AK21" s="34">
        <f t="shared" si="19"/>
        <v>25.246176870359349</v>
      </c>
      <c r="AL21" s="34">
        <f t="shared" si="20"/>
        <v>4.6061333791588979</v>
      </c>
      <c r="AM21" s="38">
        <f t="shared" si="21"/>
        <v>3.602226455890543</v>
      </c>
      <c r="AN21" s="38">
        <f t="shared" si="22"/>
        <v>25.221433909577762</v>
      </c>
      <c r="AO21" s="38">
        <f t="shared" si="23"/>
        <v>4.6067926256201215</v>
      </c>
      <c r="AQ21">
        <v>5.0245573805420261</v>
      </c>
      <c r="AU21">
        <f t="shared" si="24"/>
        <v>2.146190434038624</v>
      </c>
      <c r="AY21">
        <v>5.0220945739380261</v>
      </c>
      <c r="BC21">
        <f t="shared" si="25"/>
        <v>2.1463440138104892</v>
      </c>
    </row>
    <row r="22" spans="1:57">
      <c r="A22">
        <v>5</v>
      </c>
      <c r="D22" s="20"/>
      <c r="E22" s="19"/>
      <c r="F22" s="20"/>
      <c r="G22" s="20"/>
      <c r="H22" s="27"/>
      <c r="I22" s="23"/>
      <c r="J22" s="23"/>
      <c r="K22" s="20"/>
      <c r="L22" s="20"/>
      <c r="M22" s="20"/>
      <c r="N22" s="27"/>
      <c r="O22" s="20"/>
      <c r="P22" s="20"/>
      <c r="Q22" s="20"/>
      <c r="R22" s="20"/>
      <c r="S22" s="20"/>
      <c r="T22" s="20"/>
      <c r="U22" s="23">
        <v>7.0583126136746943E-2</v>
      </c>
      <c r="V22" s="31">
        <f>(U22*$T$17)/(Parameters!B23*POWER(Parameters!$B$12, $C$17))</f>
        <v>2.7164723230980463E-3</v>
      </c>
      <c r="W22" s="27">
        <f t="shared" si="14"/>
        <v>49864760.03033337</v>
      </c>
      <c r="X22" s="23">
        <f>Parameters!E23</f>
        <v>4.2527270739643942E-2</v>
      </c>
      <c r="Y22" s="23">
        <f>(X22*$T$17)/(Parameters!B23*POWER(Parameters!$B$12, $C$17))</f>
        <v>1.6367106455064766E-3</v>
      </c>
      <c r="Z22" s="20">
        <f t="shared" si="15"/>
        <v>30044180.050468624</v>
      </c>
      <c r="AA22" s="15"/>
      <c r="AB22" s="15"/>
      <c r="AC22" s="20">
        <f>Parameters!B23*POWER(Parameters!$B$12, $C$17)</f>
        <v>18356439565.511299</v>
      </c>
      <c r="AD22" s="20">
        <f>$AD$3*Parameters!F23</f>
        <v>11937496.250859786</v>
      </c>
      <c r="AE22" s="20">
        <f t="shared" si="16"/>
        <v>18318512301.731823</v>
      </c>
      <c r="AF22" s="20">
        <f t="shared" si="13"/>
        <v>18338332881.711689</v>
      </c>
      <c r="AG22" s="23">
        <f>($AA$17/10) + (Parameters!F23*$I$17)</f>
        <v>340433.14727272722</v>
      </c>
      <c r="AH22" s="20">
        <f t="shared" si="17"/>
        <v>53809.426163359254</v>
      </c>
      <c r="AI22" s="20">
        <f t="shared" si="18"/>
        <v>53867.647814625161</v>
      </c>
      <c r="AJ22" s="34">
        <f>(POWER(AH22, -0.26) - 1)/-0.26</f>
        <v>3.6196876016359809</v>
      </c>
      <c r="AK22" s="34">
        <f t="shared" si="19"/>
        <v>27.001920487725648</v>
      </c>
      <c r="AL22" s="34">
        <f t="shared" si="20"/>
        <v>4.7308583606505561</v>
      </c>
      <c r="AM22" s="38">
        <f t="shared" si="21"/>
        <v>3.6197512675654919</v>
      </c>
      <c r="AN22" s="38">
        <f t="shared" si="22"/>
        <v>26.973915077072654</v>
      </c>
      <c r="AO22" s="38">
        <f t="shared" si="23"/>
        <v>4.7313280120517707</v>
      </c>
      <c r="AQ22">
        <v>5.1963372184381615</v>
      </c>
      <c r="AU22">
        <f t="shared" si="24"/>
        <v>2.1750536454649931</v>
      </c>
      <c r="AY22">
        <v>5.1936417932961696</v>
      </c>
      <c r="BC22">
        <f t="shared" si="25"/>
        <v>2.1751616059621344</v>
      </c>
    </row>
    <row r="23" spans="1:57">
      <c r="A23">
        <v>6</v>
      </c>
      <c r="N23" s="29"/>
      <c r="O23" s="23"/>
      <c r="P23" s="23"/>
      <c r="Q23" s="23"/>
      <c r="R23" s="23"/>
      <c r="S23" s="23"/>
      <c r="T23" s="23"/>
      <c r="U23" s="23">
        <v>9.0905110853151228E-2</v>
      </c>
      <c r="V23" s="31">
        <f>(U23*$T$17)/(Parameters!B24*POWER(Parameters!$B$12, $C$17))</f>
        <v>2.9337901089458904E-3</v>
      </c>
      <c r="W23" s="27">
        <f t="shared" si="14"/>
        <v>64221603.467110984</v>
      </c>
      <c r="X23" s="23">
        <f>Parameters!E24</f>
        <v>6.7619180713536689E-2</v>
      </c>
      <c r="Y23" s="31">
        <f>(X23*$T$17)/(Parameters!B24*POWER(Parameters!$B$12, $C$17))</f>
        <v>2.1822808606753023E-3</v>
      </c>
      <c r="Z23" s="20">
        <f t="shared" si="15"/>
        <v>47770825.752258956</v>
      </c>
      <c r="AA23" s="15"/>
      <c r="AB23" s="15"/>
      <c r="AC23" s="20">
        <f>Parameters!B24*POWER(Parameters!$B$12, $C$17)</f>
        <v>21890319716.902237</v>
      </c>
      <c r="AD23" s="20">
        <f>$AD$3*Parameters!F24</f>
        <v>9947913.5423831567</v>
      </c>
      <c r="AE23" s="20">
        <f t="shared" si="16"/>
        <v>21836046026.977509</v>
      </c>
      <c r="AF23" s="20">
        <f t="shared" si="13"/>
        <v>21852496804.69236</v>
      </c>
      <c r="AG23" s="23">
        <f>($AA$17/10) + (Parameters!F24*$I$17)</f>
        <v>334602.47272727272</v>
      </c>
      <c r="AH23" s="20">
        <f t="shared" si="17"/>
        <v>65259.66723735362</v>
      </c>
      <c r="AI23" s="20">
        <f t="shared" si="18"/>
        <v>65308.832378246829</v>
      </c>
      <c r="AJ23" s="34">
        <f>(POWER(AH23, -0.26) - 1)/-0.26</f>
        <v>3.6307670929026936</v>
      </c>
      <c r="AK23" s="34">
        <f t="shared" si="19"/>
        <v>28.109869614396921</v>
      </c>
      <c r="AL23" s="34">
        <f t="shared" si="20"/>
        <v>4.8146448549659606</v>
      </c>
      <c r="AM23" s="38">
        <f t="shared" si="21"/>
        <v>3.6308092624278467</v>
      </c>
      <c r="AN23" s="38">
        <f t="shared" si="22"/>
        <v>28.079714563308134</v>
      </c>
      <c r="AO23" s="38">
        <f t="shared" si="23"/>
        <v>4.8149719193109428</v>
      </c>
      <c r="AQ23">
        <v>5.3018741605584081</v>
      </c>
      <c r="AU23">
        <f t="shared" si="24"/>
        <v>2.1942299002078065</v>
      </c>
      <c r="AY23">
        <v>5.2990295869440223</v>
      </c>
      <c r="BC23">
        <f t="shared" si="25"/>
        <v>2.1943044272185532</v>
      </c>
    </row>
    <row r="24" spans="1:57">
      <c r="A24">
        <v>7</v>
      </c>
      <c r="U24" s="23">
        <v>0.11035602414482847</v>
      </c>
      <c r="V24" s="31">
        <f>(U24*$T$17)/(Parameters!B25*POWER(Parameters!$B$12, $C$17))</f>
        <v>3.0424490018698125E-3</v>
      </c>
      <c r="W24" s="27">
        <f t="shared" si="14"/>
        <v>77963062.322039068</v>
      </c>
      <c r="X24" s="23">
        <f>Parameters!E25</f>
        <v>9.8944895708799885E-2</v>
      </c>
      <c r="Y24" s="23">
        <f>(X24*$T$17)/(Parameters!B25*POWER(Parameters!$B$12, $C$17))</f>
        <v>2.7278510758441277E-3</v>
      </c>
      <c r="Z24" s="20">
        <f t="shared" si="15"/>
        <v>69901458.759234563</v>
      </c>
      <c r="AC24" s="20">
        <f>Parameters!B25*POWER(Parameters!$B$12, $C$17)</f>
        <v>25625100790.226864</v>
      </c>
      <c r="AD24" s="20">
        <f>$AD$3*Parameters!F25</f>
        <v>7958330.8339065248</v>
      </c>
      <c r="AE24" s="20">
        <f t="shared" si="16"/>
        <v>25555096058.738731</v>
      </c>
      <c r="AF24" s="20">
        <f t="shared" si="13"/>
        <v>25563157662.301537</v>
      </c>
      <c r="AG24" s="23">
        <f>($AA$17/10) + (Parameters!F25*$I$17)</f>
        <v>328771.79818181816</v>
      </c>
      <c r="AH24" s="20">
        <f t="shared" si="17"/>
        <v>77728.97858047481</v>
      </c>
      <c r="AI24" s="20">
        <f t="shared" si="18"/>
        <v>77753.498942645136</v>
      </c>
      <c r="AJ24" s="34">
        <f>(POWER(AH24, -0.26) - 1)/-0.26</f>
        <v>3.6403397660810506</v>
      </c>
      <c r="AK24" s="34">
        <f t="shared" si="19"/>
        <v>29.067136932232618</v>
      </c>
      <c r="AL24" s="34">
        <f t="shared" si="20"/>
        <v>4.8905829607740827</v>
      </c>
      <c r="AM24" s="38">
        <f t="shared" si="21"/>
        <v>3.6403566435007497</v>
      </c>
      <c r="AN24" s="38">
        <f t="shared" si="22"/>
        <v>29.034452670598434</v>
      </c>
      <c r="AO24" s="38">
        <f t="shared" si="23"/>
        <v>4.8907199415868758</v>
      </c>
      <c r="AQ24">
        <v>5.3913947112257157</v>
      </c>
      <c r="AU24">
        <f t="shared" si="24"/>
        <v>2.211466246808683</v>
      </c>
      <c r="AY24">
        <v>5.3883627077803915</v>
      </c>
      <c r="BC24">
        <f t="shared" si="25"/>
        <v>2.2114972171781893</v>
      </c>
    </row>
    <row r="25" spans="1:57">
      <c r="A25">
        <v>8</v>
      </c>
      <c r="U25" s="23">
        <v>0.13623161609900061</v>
      </c>
      <c r="V25" s="31">
        <f>(U25*$T$17)/(Parameters!B26*POWER(Parameters!$B$12, $C$17))</f>
        <v>3.1511078947937332E-3</v>
      </c>
      <c r="W25" s="27">
        <f t="shared" si="14"/>
        <v>96243354.710022062</v>
      </c>
      <c r="X25" s="23">
        <f>Parameters!E26</f>
        <v>0.14151958217119773</v>
      </c>
      <c r="Y25" s="31">
        <f>(X25*$T$17)/(Parameters!B26*POWER(Parameters!$B$12, $C$17))</f>
        <v>3.2734212910129536E-3</v>
      </c>
      <c r="Z25" s="20">
        <f t="shared" si="15"/>
        <v>99979136.527446777</v>
      </c>
      <c r="AC25" s="20">
        <f>Parameters!B26*POWER(Parameters!$B$12, $C$17)</f>
        <v>30542703684.959671</v>
      </c>
      <c r="AD25" s="20">
        <f>$AD$3*Parameters!F26</f>
        <v>5968748.1254298929</v>
      </c>
      <c r="AE25" s="20">
        <f t="shared" si="16"/>
        <v>30452429078.37508</v>
      </c>
      <c r="AF25" s="20">
        <f t="shared" si="13"/>
        <v>30448693296.557655</v>
      </c>
      <c r="AG25" s="23">
        <f>($AA$17/10) + (Parameters!F26*$I$17)</f>
        <v>322941.1236363636</v>
      </c>
      <c r="AH25" s="20">
        <f t="shared" si="17"/>
        <v>94297.154649975637</v>
      </c>
      <c r="AI25" s="20">
        <f t="shared" si="18"/>
        <v>94285.586653384307</v>
      </c>
      <c r="AJ25" s="34">
        <f>(POWER(AH25, -0.26) - 1)/-0.26</f>
        <v>3.6504240160883845</v>
      </c>
      <c r="AK25" s="34">
        <f t="shared" si="19"/>
        <v>30.075561932966011</v>
      </c>
      <c r="AL25" s="34">
        <f t="shared" si="20"/>
        <v>4.9744985884058543</v>
      </c>
      <c r="AM25" s="38">
        <f t="shared" si="21"/>
        <v>3.6504177726547851</v>
      </c>
      <c r="AN25" s="38">
        <f t="shared" si="22"/>
        <v>30.040565586001968</v>
      </c>
      <c r="AO25" s="38">
        <f t="shared" si="23"/>
        <v>4.9744453076330979</v>
      </c>
      <c r="AQ25">
        <v>5.4841190662645181</v>
      </c>
      <c r="AU25">
        <f t="shared" si="24"/>
        <v>2.2303583990932609</v>
      </c>
      <c r="AY25">
        <v>5.4809274384908591</v>
      </c>
      <c r="BC25">
        <f t="shared" si="25"/>
        <v>2.2303464546193488</v>
      </c>
    </row>
    <row r="26" spans="1:57">
      <c r="A26">
        <v>9</v>
      </c>
      <c r="U26" s="23">
        <v>0.17539672338276532</v>
      </c>
      <c r="V26" s="31">
        <f>(U26*$T$17)/(Parameters!B27*POWER(Parameters!$B$12, $C$17))</f>
        <v>3.2597667877176557E-3</v>
      </c>
      <c r="W26" s="27">
        <f t="shared" si="14"/>
        <v>123912271.9592177</v>
      </c>
      <c r="X26" s="23">
        <f>Parameters!E27</f>
        <v>0.20548666221606829</v>
      </c>
      <c r="Y26" s="23">
        <f>(X26*$T$17)/(Parameters!B27*POWER(Parameters!$B$12, $C$17))</f>
        <v>3.81899150618178E-3</v>
      </c>
      <c r="Z26" s="20">
        <f t="shared" si="15"/>
        <v>145169867.95097288</v>
      </c>
      <c r="AC26" s="20">
        <f>Parameters!B27*POWER(Parameters!$B$12, $C$17)</f>
        <v>38012618702.080704</v>
      </c>
      <c r="AD26" s="20">
        <f>$AD$3*Parameters!F27</f>
        <v>3979165.4169532624</v>
      </c>
      <c r="AE26" s="20">
        <f t="shared" si="16"/>
        <v>37892685595.538437</v>
      </c>
      <c r="AF26" s="20">
        <f t="shared" si="13"/>
        <v>37871427999.546684</v>
      </c>
      <c r="AG26" s="23">
        <f>($AA$17/10) + (Parameters!F27*$I$17)</f>
        <v>317110.44909090904</v>
      </c>
      <c r="AH26" s="20">
        <f t="shared" si="17"/>
        <v>119493.65183067614</v>
      </c>
      <c r="AI26" s="20">
        <f t="shared" si="18"/>
        <v>119426.61652467253</v>
      </c>
      <c r="AJ26" s="34">
        <f>(POWER(AH26, -0.26) - 1)/-0.26</f>
        <v>3.6621118244904123</v>
      </c>
      <c r="AK26" s="34">
        <f t="shared" si="19"/>
        <v>31.244342773168789</v>
      </c>
      <c r="AL26" s="34">
        <f t="shared" si="20"/>
        <v>5.0773448337516109</v>
      </c>
      <c r="AM26" s="38">
        <f t="shared" si="21"/>
        <v>3.662084970883047</v>
      </c>
      <c r="AN26" s="38">
        <f t="shared" si="22"/>
        <v>31.207285408828156</v>
      </c>
      <c r="AO26" s="38">
        <f t="shared" si="23"/>
        <v>5.077101128481611</v>
      </c>
      <c r="AQ26">
        <v>5.5896639230967002</v>
      </c>
      <c r="AU26">
        <f t="shared" si="24"/>
        <v>2.2532964371674695</v>
      </c>
      <c r="AY26">
        <v>5.5863481281449117</v>
      </c>
      <c r="BC26">
        <f t="shared" si="25"/>
        <v>2.2532423590199104</v>
      </c>
    </row>
    <row r="27" spans="1:57">
      <c r="A27">
        <v>10</v>
      </c>
      <c r="U27" s="23">
        <v>0.31542540330404345</v>
      </c>
      <c r="V27" s="31">
        <f>(U27*$T$17)/(Parameters!B28*POWER(Parameters!$B$12, $C$17))</f>
        <v>3.3684256806415778E-3</v>
      </c>
      <c r="W27" s="27">
        <f t="shared" si="14"/>
        <v>222838132.90948343</v>
      </c>
      <c r="X27" s="23">
        <f>Parameters!E28</f>
        <v>0.40870536319512574</v>
      </c>
      <c r="Y27" s="23">
        <f>(X27*$T$17)/(Parameters!B28*POWER(Parameters!$B$12, $C$17))</f>
        <v>4.3645617213506054E-3</v>
      </c>
      <c r="Z27" s="20">
        <f t="shared" si="15"/>
        <v>288737492.57508403</v>
      </c>
      <c r="AC27" s="20">
        <f>Parameters!B28*POWER(Parameters!$B$12, $C$17)</f>
        <v>66154979814.49894</v>
      </c>
      <c r="AD27" s="20">
        <f>$AD$3*Parameters!F28</f>
        <v>1989582.7084766312</v>
      </c>
      <c r="AE27" s="20">
        <f t="shared" si="16"/>
        <v>65934131264.297928</v>
      </c>
      <c r="AF27" s="20">
        <f t="shared" si="13"/>
        <v>65868231904.632332</v>
      </c>
      <c r="AG27" s="23">
        <f>($AA$17/10) + (Parameters!F28*$I$17)</f>
        <v>311279.77454545454</v>
      </c>
      <c r="AH27" s="20">
        <f t="shared" si="17"/>
        <v>211816.30371127732</v>
      </c>
      <c r="AI27" s="20">
        <f t="shared" si="18"/>
        <v>211604.59911285996</v>
      </c>
      <c r="AJ27" s="34">
        <f>(POWER(AH27, -0.26) - 1)/-0.26</f>
        <v>3.6875633302516624</v>
      </c>
      <c r="AK27" s="34">
        <f t="shared" si="19"/>
        <v>33.789493349293799</v>
      </c>
      <c r="AL27" s="34">
        <f t="shared" si="20"/>
        <v>5.3259593851356515</v>
      </c>
      <c r="AM27" s="38">
        <f t="shared" si="21"/>
        <v>3.6875220924935146</v>
      </c>
      <c r="AN27" s="38">
        <f t="shared" si="22"/>
        <v>33.750997569874919</v>
      </c>
      <c r="AO27" s="38">
        <f t="shared" si="23"/>
        <v>5.3255251026241623</v>
      </c>
      <c r="AQ27">
        <v>5.8128730718375232</v>
      </c>
      <c r="AU27">
        <f t="shared" si="24"/>
        <v>2.3078040179217236</v>
      </c>
      <c r="AY27">
        <v>5.8095608758214174</v>
      </c>
      <c r="BC27">
        <f t="shared" si="25"/>
        <v>2.3077099260141347</v>
      </c>
    </row>
    <row r="29" spans="1:57">
      <c r="A29" s="14" t="s">
        <v>475</v>
      </c>
      <c r="B29" s="48" t="s">
        <v>424</v>
      </c>
      <c r="C29" s="48"/>
      <c r="D29" s="48" t="s">
        <v>432</v>
      </c>
      <c r="E29" s="48"/>
      <c r="F29" s="48"/>
      <c r="G29" s="48"/>
      <c r="H29" s="49"/>
      <c r="I29" s="48"/>
      <c r="J29" s="48"/>
      <c r="K29" s="48"/>
      <c r="L29" s="48"/>
      <c r="M29" s="48"/>
      <c r="N29" s="48"/>
      <c r="O29" s="30"/>
      <c r="P29" s="30"/>
      <c r="Q29" s="30"/>
      <c r="R29" s="30"/>
      <c r="S29" s="30"/>
      <c r="T29" s="30"/>
      <c r="U29" s="48" t="s">
        <v>433</v>
      </c>
      <c r="V29" s="48"/>
      <c r="W29" s="48"/>
      <c r="X29" s="48" t="s">
        <v>434</v>
      </c>
      <c r="Y29" s="48"/>
      <c r="Z29" s="48"/>
      <c r="AA29" s="48" t="s">
        <v>476</v>
      </c>
      <c r="AB29" s="48"/>
      <c r="AC29" s="48" t="s">
        <v>435</v>
      </c>
      <c r="AD29" s="48"/>
      <c r="AE29" s="14" t="s">
        <v>436</v>
      </c>
      <c r="AF29" s="30" t="s">
        <v>437</v>
      </c>
      <c r="AG29" s="14" t="s">
        <v>477</v>
      </c>
      <c r="AH29" s="14" t="s">
        <v>478</v>
      </c>
      <c r="AI29" s="30" t="s">
        <v>479</v>
      </c>
      <c r="AJ29" s="48" t="s">
        <v>438</v>
      </c>
      <c r="AK29" s="48"/>
      <c r="AL29" s="48"/>
      <c r="AM29" s="48" t="s">
        <v>439</v>
      </c>
      <c r="AN29" s="48"/>
      <c r="AO29" s="48"/>
      <c r="AP29" s="48" t="s">
        <v>493</v>
      </c>
      <c r="AQ29" s="48"/>
      <c r="AR29" s="48"/>
      <c r="AS29" s="48"/>
      <c r="AT29" s="48" t="s">
        <v>481</v>
      </c>
      <c r="AU29" s="48"/>
      <c r="AV29" s="48"/>
      <c r="AW29" s="48"/>
      <c r="AX29" s="48" t="s">
        <v>494</v>
      </c>
      <c r="AY29" s="48"/>
      <c r="AZ29" s="48"/>
      <c r="BA29" s="48"/>
      <c r="BB29" s="48" t="s">
        <v>482</v>
      </c>
      <c r="BC29" s="48"/>
      <c r="BD29" s="48"/>
      <c r="BE29" s="48"/>
    </row>
    <row r="30" spans="1:57">
      <c r="A30" s="24"/>
      <c r="B30" s="24" t="s">
        <v>424</v>
      </c>
      <c r="C30" s="24" t="s">
        <v>444</v>
      </c>
      <c r="D30" s="24" t="s">
        <v>445</v>
      </c>
      <c r="E30" s="24" t="s">
        <v>446</v>
      </c>
      <c r="F30" s="24" t="s">
        <v>447</v>
      </c>
      <c r="G30" s="24" t="s">
        <v>448</v>
      </c>
      <c r="H30" s="26" t="s">
        <v>449</v>
      </c>
      <c r="I30" s="24" t="s">
        <v>483</v>
      </c>
      <c r="J30" s="24" t="s">
        <v>451</v>
      </c>
      <c r="K30" s="24" t="s">
        <v>452</v>
      </c>
      <c r="L30" s="24" t="s">
        <v>453</v>
      </c>
      <c r="M30" s="24" t="s">
        <v>454</v>
      </c>
      <c r="N30" s="26" t="s">
        <v>484</v>
      </c>
      <c r="O30" s="24" t="s">
        <v>450</v>
      </c>
      <c r="P30" s="24" t="s">
        <v>451</v>
      </c>
      <c r="Q30" s="24" t="s">
        <v>452</v>
      </c>
      <c r="R30" s="24" t="s">
        <v>453</v>
      </c>
      <c r="S30" s="24" t="s">
        <v>454</v>
      </c>
      <c r="T30" s="26" t="s">
        <v>455</v>
      </c>
      <c r="U30" s="24" t="s">
        <v>456</v>
      </c>
      <c r="V30" s="24" t="s">
        <v>485</v>
      </c>
      <c r="W30" s="26" t="s">
        <v>458</v>
      </c>
      <c r="X30" s="24" t="s">
        <v>456</v>
      </c>
      <c r="Y30" s="24" t="s">
        <v>485</v>
      </c>
      <c r="Z30" s="24" t="s">
        <v>458</v>
      </c>
      <c r="AA30" s="24" t="s">
        <v>486</v>
      </c>
      <c r="AB30" s="24" t="s">
        <v>487</v>
      </c>
      <c r="AC30" s="24" t="s">
        <v>488</v>
      </c>
      <c r="AD30" s="24" t="s">
        <v>460</v>
      </c>
      <c r="AE30" s="24" t="s">
        <v>461</v>
      </c>
      <c r="AF30" s="24" t="s">
        <v>461</v>
      </c>
      <c r="AG30" s="24"/>
      <c r="AH30" s="24"/>
      <c r="AI30" s="24"/>
      <c r="AJ30" s="24" t="s">
        <v>462</v>
      </c>
      <c r="AK30" s="24" t="s">
        <v>489</v>
      </c>
      <c r="AL30" s="24" t="s">
        <v>490</v>
      </c>
      <c r="AM30" s="24" t="s">
        <v>462</v>
      </c>
      <c r="AN30" s="24" t="s">
        <v>491</v>
      </c>
      <c r="AO30" s="24" t="s">
        <v>492</v>
      </c>
      <c r="AP30" s="32" t="s">
        <v>464</v>
      </c>
      <c r="AQ30" s="24" t="s">
        <v>465</v>
      </c>
      <c r="AR30" s="24" t="s">
        <v>466</v>
      </c>
      <c r="AS30" s="24" t="s">
        <v>467</v>
      </c>
      <c r="AT30" s="32" t="s">
        <v>464</v>
      </c>
      <c r="AU30" s="24" t="s">
        <v>465</v>
      </c>
      <c r="AV30" s="24" t="s">
        <v>466</v>
      </c>
      <c r="AW30" s="24" t="s">
        <v>467</v>
      </c>
      <c r="AX30" s="24" t="s">
        <v>464</v>
      </c>
      <c r="AY30" s="24" t="s">
        <v>465</v>
      </c>
      <c r="AZ30" s="24" t="s">
        <v>466</v>
      </c>
      <c r="BA30" s="24" t="s">
        <v>467</v>
      </c>
      <c r="BB30" s="24" t="s">
        <v>464</v>
      </c>
      <c r="BC30" s="24" t="s">
        <v>465</v>
      </c>
      <c r="BD30" s="24" t="s">
        <v>466</v>
      </c>
      <c r="BE30" s="24" t="s">
        <v>467</v>
      </c>
    </row>
    <row r="31" spans="1:57">
      <c r="A31" t="s">
        <v>468</v>
      </c>
      <c r="B31">
        <v>2078</v>
      </c>
      <c r="C31">
        <v>53</v>
      </c>
      <c r="D31" s="20">
        <f>Parameters!$B$7</f>
        <v>538.41999999999996</v>
      </c>
      <c r="E31">
        <f>Parameters!$B$8</f>
        <v>414.17</v>
      </c>
      <c r="F31" s="19">
        <f>Parameters!$B$12</f>
        <v>1.01088</v>
      </c>
      <c r="G31" s="20">
        <f>D31*POWER(F31,C31)</f>
        <v>955.43293441055596</v>
      </c>
      <c r="H31" s="27">
        <f>E31*POWER(F31,C31)</f>
        <v>734.94977609453588</v>
      </c>
      <c r="I31" s="23">
        <f>Parameters!$B$5*'Population Projections'!B6</f>
        <v>442373.4</v>
      </c>
      <c r="J31" s="23">
        <f>I31*Parameters!$B$14</f>
        <v>185796.82800000001</v>
      </c>
      <c r="K31" s="23">
        <f>I31*Parameters!$B$13</f>
        <v>256576.57199999999</v>
      </c>
      <c r="L31" s="23">
        <f>J31*G31</f>
        <v>177516408.58021337</v>
      </c>
      <c r="M31" s="23">
        <f>K31*H31</f>
        <v>188570894.14250356</v>
      </c>
      <c r="N31" s="29">
        <f>M31+L31</f>
        <v>366087302.72271693</v>
      </c>
      <c r="O31" s="23">
        <f>'Population Projections'!B6</f>
        <v>1776600</v>
      </c>
      <c r="P31" s="23">
        <f>O31*Parameters!$B$14</f>
        <v>746172</v>
      </c>
      <c r="Q31" s="23">
        <f>O31*Parameters!$B$13</f>
        <v>1030427.9999999999</v>
      </c>
      <c r="R31" s="23">
        <f>P31*G31</f>
        <v>712917303.53499341</v>
      </c>
      <c r="S31" s="23">
        <f>Q31*H31</f>
        <v>757312827.8815403</v>
      </c>
      <c r="T31" s="29">
        <f>S31+R31</f>
        <v>1470230131.4165337</v>
      </c>
      <c r="Z31" s="20">
        <f>SUM(Z32:Z41)</f>
        <v>1470230131.4165339</v>
      </c>
      <c r="AA31" s="15">
        <f>'Population Projections'!C6*Parameters!B4</f>
        <v>2706789.8000000003</v>
      </c>
      <c r="AB31" s="15">
        <f>AA31+I31</f>
        <v>3149163.2</v>
      </c>
      <c r="AC31" s="20">
        <f>SUM(AC32:AC41)</f>
        <v>344959875470.09558</v>
      </c>
      <c r="AD31" s="20">
        <f>N31</f>
        <v>366087302.72271693</v>
      </c>
      <c r="AE31" s="20">
        <f>AC31+AD31-W31</f>
        <v>345325962772.8183</v>
      </c>
      <c r="AF31" s="20">
        <f>AC31+AD31-Z31</f>
        <v>343855732641.40179</v>
      </c>
      <c r="AG31" s="20"/>
      <c r="AH31" s="20"/>
      <c r="AI31" s="20"/>
      <c r="AP31" s="33">
        <f>SUM(AK32:AK41)</f>
        <v>272.4764077646193</v>
      </c>
      <c r="AR31">
        <f>SUM(AQ32:AQ41)</f>
        <v>51.23474255214763</v>
      </c>
      <c r="AS31" s="23">
        <f>MIN(AJ32:AJ41)</f>
        <v>3.4068495371857219</v>
      </c>
      <c r="AT31" s="31">
        <f>SUM(AL32:AL41)</f>
        <v>48.420975300521484</v>
      </c>
      <c r="AU31" s="31"/>
      <c r="AV31" s="31">
        <f>SUM(AU32:AU41)</f>
        <v>21.969511452956883</v>
      </c>
      <c r="AW31" s="31">
        <f>MIN(AL32:AL41)</f>
        <v>3.6240814958243304</v>
      </c>
      <c r="AX31" s="38">
        <f>SUM(AN32:AN41)</f>
        <v>272.22559158944938</v>
      </c>
      <c r="AZ31" s="38">
        <f>SUM(AY32:AY41)</f>
        <v>51.212770605634262</v>
      </c>
      <c r="BA31" s="38">
        <f>MIN(AM32:AM41)</f>
        <v>3.4072588745643198</v>
      </c>
      <c r="BB31" s="38">
        <f>SUM(AO32:AO41)</f>
        <v>48.425822140440395</v>
      </c>
      <c r="BD31">
        <f>SUM(BC31:BC41)</f>
        <v>21.970698963253895</v>
      </c>
      <c r="BE31" s="38">
        <f>MIN(AO32:AO41)</f>
        <v>3.6256386417633291</v>
      </c>
    </row>
    <row r="32" spans="1:57">
      <c r="A32">
        <v>1</v>
      </c>
      <c r="D32" s="20"/>
      <c r="F32" s="19"/>
      <c r="G32" s="20"/>
      <c r="H32" s="27"/>
      <c r="I32" s="23"/>
      <c r="J32" s="23"/>
      <c r="K32" s="23"/>
      <c r="L32" s="23"/>
      <c r="M32" s="23"/>
      <c r="N32" s="29"/>
      <c r="O32" s="23"/>
      <c r="P32" s="23"/>
      <c r="Q32" s="23"/>
      <c r="R32" s="23"/>
      <c r="S32" s="23"/>
      <c r="T32" s="23"/>
      <c r="U32" s="31">
        <f>Parameters!D19</f>
        <v>3.6096393698449797E-3</v>
      </c>
      <c r="V32" s="31">
        <f>(U32*$T$31)/(Parameters!B19*POWER(Parameters!$B$12,$C$31))</f>
        <v>3.7472511291373467E-3</v>
      </c>
      <c r="W32" s="27">
        <f>$T$31*U32</f>
        <v>5307000.5650934782</v>
      </c>
      <c r="X32" s="23">
        <f>Parameters!E19</f>
        <v>0</v>
      </c>
      <c r="Y32" s="23">
        <f>(X32*$T$31)/(Parameters!B19*POWER(Parameters!$B$12,$C$31))</f>
        <v>0</v>
      </c>
      <c r="Z32" s="20">
        <f>$T$31*X32</f>
        <v>0</v>
      </c>
      <c r="AA32" s="15"/>
      <c r="AB32" s="15"/>
      <c r="AC32" s="20">
        <f>Parameters!B19*POWER(Parameters!$B$12,$C$31)</f>
        <v>1416238299.0101869</v>
      </c>
      <c r="AD32" s="20">
        <f>$AD$31*Parameters!F19</f>
        <v>66561327.767766714</v>
      </c>
      <c r="AE32" s="20">
        <f>AC32+AD32-W32</f>
        <v>1477492626.2128601</v>
      </c>
      <c r="AF32" s="20">
        <f t="shared" ref="AF32:AF41" si="26">AC32+AD32-Z32</f>
        <v>1482799626.7779536</v>
      </c>
      <c r="AG32" s="23">
        <f>($AA$31/10)+($I$31*Parameters!F19)</f>
        <v>351110.50727272732</v>
      </c>
      <c r="AH32" s="20">
        <f>AE32/AG32</f>
        <v>4208.0558559451147</v>
      </c>
      <c r="AI32" s="20">
        <f>AF32/AG32</f>
        <v>4223.1707569667788</v>
      </c>
      <c r="AJ32" s="34">
        <f>(POWER(AH32, -0.26) - 1)/-0.26</f>
        <v>3.4068495371857219</v>
      </c>
      <c r="AK32" s="34">
        <f>(AJ32-$AJ$18)*100</f>
        <v>5.7181140426997512</v>
      </c>
      <c r="AL32" s="34">
        <f>LOG(AH32)</f>
        <v>3.6240814958243304</v>
      </c>
      <c r="AM32" s="38">
        <f>(POWER(AI32, -0.26) - 1)/-0.26</f>
        <v>3.4072588745643198</v>
      </c>
      <c r="AN32" s="38">
        <f>(AM32-$AM$18)*100</f>
        <v>5.7246757769554346</v>
      </c>
      <c r="AO32" s="38">
        <f>LOG(AI32)</f>
        <v>3.6256386417633291</v>
      </c>
      <c r="AQ32" cm="1">
        <f t="array" ref="AQ32:AQ41">SQRT(AK32:AK41)</f>
        <v>2.3912578369343094</v>
      </c>
      <c r="AU32">
        <f>SQRT(AL32)</f>
        <v>1.9037020501707536</v>
      </c>
      <c r="AY32" cm="1">
        <f t="array" ref="AY32:AY41">SQRT(AN32:AN41)</f>
        <v>2.3926294692148709</v>
      </c>
      <c r="BC32">
        <f>SQRT(AO32)</f>
        <v>1.9041109846233568</v>
      </c>
    </row>
    <row r="33" spans="1:55">
      <c r="A33">
        <v>2</v>
      </c>
      <c r="D33" s="20"/>
      <c r="F33" s="19"/>
      <c r="G33" s="20"/>
      <c r="H33" s="27"/>
      <c r="I33" s="23"/>
      <c r="J33" s="23"/>
      <c r="K33" s="23"/>
      <c r="L33" s="23"/>
      <c r="M33" s="23"/>
      <c r="N33" s="29"/>
      <c r="O33" s="23"/>
      <c r="P33" s="23"/>
      <c r="Q33" s="23"/>
      <c r="R33" s="23"/>
      <c r="S33" s="23"/>
      <c r="T33" s="23"/>
      <c r="U33" s="31">
        <f>Parameters!D20</f>
        <v>1.4401036406566694E-2</v>
      </c>
      <c r="V33" s="31">
        <f>(U33*$T$31)/(Parameters!B20*POWER(Parameters!$B$12,$C$31))</f>
        <v>3.2975809936408649E-3</v>
      </c>
      <c r="W33" s="27">
        <f t="shared" ref="W33:W41" si="27">$T$31*U33</f>
        <v>21172837.648560837</v>
      </c>
      <c r="X33" s="23">
        <f>Parameters!E20</f>
        <v>3.2866725984765288E-3</v>
      </c>
      <c r="Y33" s="23">
        <f>(X33*$T$31)/(Parameters!B20*POWER(Parameters!$B$12,$C$31))</f>
        <v>7.5258952113435465E-4</v>
      </c>
      <c r="Z33" s="20">
        <f t="shared" ref="Z33:Z41" si="28">$T$31*X33</f>
        <v>4832165.0863812668</v>
      </c>
      <c r="AA33" s="15"/>
      <c r="AB33" s="15"/>
      <c r="AC33" s="20">
        <f>Parameters!B20*POWER(Parameters!$B$12,$C$31)</f>
        <v>6420718001.8901882</v>
      </c>
      <c r="AD33" s="20">
        <f>$AD$31*Parameters!F20</f>
        <v>59905194.990990043</v>
      </c>
      <c r="AE33" s="20">
        <f t="shared" ref="AE33:AE41" si="29">AC33+AD33-W33</f>
        <v>6459450359.2326174</v>
      </c>
      <c r="AF33" s="20">
        <f t="shared" si="26"/>
        <v>6475791031.7947969</v>
      </c>
      <c r="AG33" s="23">
        <f>($AA$31/10)+($I$31*Parameters!F20)</f>
        <v>343067.35454545461</v>
      </c>
      <c r="AH33" s="20">
        <f t="shared" ref="AH33:AH41" si="30">AE33/AG33</f>
        <v>18828.519454411609</v>
      </c>
      <c r="AI33" s="20">
        <f t="shared" ref="AI33:AI41" si="31">AF33/AG33</f>
        <v>18876.150545932487</v>
      </c>
      <c r="AJ33" s="34">
        <f>(POWER(AH33, -0.26) - 1)/-0.26</f>
        <v>3.5485939164349278</v>
      </c>
      <c r="AK33" s="34">
        <f t="shared" ref="AK33:AK41" si="32">(AJ33-$AJ$18)*100</f>
        <v>19.892551967620342</v>
      </c>
      <c r="AL33" s="34">
        <f t="shared" ref="AL33:AL41" si="33">LOG(AH33)</f>
        <v>4.2748161714208681</v>
      </c>
      <c r="AM33" s="38">
        <f t="shared" ref="AM33:AM41" si="34">(POWER(AI33, -0.26) - 1)/-0.26</f>
        <v>3.5487893192319064</v>
      </c>
      <c r="AN33" s="38">
        <f t="shared" ref="AN33:AN41" si="35">(AM33-$AM$18)*100</f>
        <v>19.877720243714101</v>
      </c>
      <c r="AO33" s="38">
        <f t="shared" ref="AO33:AO41" si="36">LOG(AI33)</f>
        <v>4.2759134323818158</v>
      </c>
      <c r="AQ33">
        <v>4.4601067215505443</v>
      </c>
      <c r="AU33">
        <f t="shared" ref="AU33:AU41" si="37">SQRT(AL33)</f>
        <v>2.0675628579128782</v>
      </c>
      <c r="AY33">
        <v>4.4584437019787639</v>
      </c>
      <c r="BC33">
        <f t="shared" ref="BC33:BC41" si="38">SQRT(AO33)</f>
        <v>2.0678281921817914</v>
      </c>
    </row>
    <row r="34" spans="1:55">
      <c r="A34">
        <v>3</v>
      </c>
      <c r="D34" s="20"/>
      <c r="F34" s="19"/>
      <c r="G34" s="20"/>
      <c r="H34" s="27"/>
      <c r="I34" s="23"/>
      <c r="J34" s="23"/>
      <c r="K34" s="23"/>
      <c r="L34" s="23"/>
      <c r="M34" s="23"/>
      <c r="N34" s="29"/>
      <c r="O34" s="23"/>
      <c r="P34" s="23"/>
      <c r="Q34" s="23"/>
      <c r="R34" s="23"/>
      <c r="S34" s="23"/>
      <c r="T34" s="23"/>
      <c r="U34" s="31">
        <f>Parameters!D21</f>
        <v>3.1399077404942015E-2</v>
      </c>
      <c r="V34" s="31">
        <f>(U34*$T$31)/(Parameters!B21*POWER(Parameters!$B$12,$C$31))</f>
        <v>3.4474710388063589E-3</v>
      </c>
      <c r="W34" s="27">
        <f t="shared" si="27"/>
        <v>46163869.699425809</v>
      </c>
      <c r="X34" s="23">
        <f>Parameters!E21</f>
        <v>1.0281717973370259E-2</v>
      </c>
      <c r="Y34" s="23">
        <f>(X34*$T$31)/(Parameters!B21*POWER(Parameters!$B$12,$C$31))</f>
        <v>1.1288842817015322E-3</v>
      </c>
      <c r="Z34" s="20">
        <f t="shared" si="28"/>
        <v>15116491.567175891</v>
      </c>
      <c r="AA34" s="15"/>
      <c r="AB34" s="15"/>
      <c r="AC34" s="20">
        <f>Parameters!B21*POWER(Parameters!$B$12,$C$31)</f>
        <v>13390647573.187283</v>
      </c>
      <c r="AD34" s="20">
        <f>$AD$31*Parameters!F21</f>
        <v>53249062.214213371</v>
      </c>
      <c r="AE34" s="20">
        <f t="shared" si="29"/>
        <v>13397732765.70207</v>
      </c>
      <c r="AF34" s="20">
        <f t="shared" si="26"/>
        <v>13428780143.83432</v>
      </c>
      <c r="AG34" s="23">
        <f>($AA$31/10)+($I$31*Parameters!F21)</f>
        <v>335024.20181818184</v>
      </c>
      <c r="AH34" s="20">
        <f t="shared" si="30"/>
        <v>39990.343064746827</v>
      </c>
      <c r="AI34" s="20">
        <f t="shared" si="31"/>
        <v>40083.015110419219</v>
      </c>
      <c r="AJ34" s="34">
        <f>(POWER(AH34, -0.26) - 1)/-0.26</f>
        <v>3.6015190002189943</v>
      </c>
      <c r="AK34" s="34">
        <f t="shared" si="32"/>
        <v>25.185060346026987</v>
      </c>
      <c r="AL34" s="34">
        <f t="shared" si="33"/>
        <v>4.6019551298271306</v>
      </c>
      <c r="AM34" s="38">
        <f t="shared" si="34"/>
        <v>3.6016661812655619</v>
      </c>
      <c r="AN34" s="38">
        <f t="shared" si="35"/>
        <v>25.165406447079654</v>
      </c>
      <c r="AO34" s="38">
        <f t="shared" si="36"/>
        <v>4.60296038243421</v>
      </c>
      <c r="AQ34">
        <v>5.0184719134440705</v>
      </c>
      <c r="AU34">
        <f t="shared" si="37"/>
        <v>2.1452168025230294</v>
      </c>
      <c r="AY34">
        <v>5.0165133755507574</v>
      </c>
      <c r="BC34">
        <f t="shared" si="38"/>
        <v>2.1454510906646673</v>
      </c>
    </row>
    <row r="35" spans="1:55">
      <c r="A35">
        <v>4</v>
      </c>
      <c r="D35" s="20"/>
      <c r="F35" s="19"/>
      <c r="G35" s="20"/>
      <c r="H35" s="20"/>
      <c r="I35" s="23"/>
      <c r="J35" s="23"/>
      <c r="K35" s="23"/>
      <c r="L35" s="23"/>
      <c r="M35" s="23"/>
      <c r="N35" s="23"/>
      <c r="O35" s="23"/>
      <c r="P35" s="23"/>
      <c r="Q35" s="23"/>
      <c r="R35" s="23"/>
      <c r="S35" s="23"/>
      <c r="T35" s="23"/>
      <c r="U35" s="31">
        <f>Parameters!D22</f>
        <v>5.1692242898110294E-2</v>
      </c>
      <c r="V35" s="31">
        <f>(U35*$T$31)/(Parameters!B22*POWER(Parameters!$B$12,$C$31))</f>
        <v>3.5973610839718532E-3</v>
      </c>
      <c r="W35" s="27">
        <f t="shared" si="27"/>
        <v>75999493.069304079</v>
      </c>
      <c r="X35" s="23">
        <f>Parameters!E22</f>
        <v>2.162865468378096E-2</v>
      </c>
      <c r="Y35" s="23">
        <f>(X35*$T$31)/(Parameters!B22*POWER(Parameters!$B$12,$C$31))</f>
        <v>1.50517904226871E-3</v>
      </c>
      <c r="Z35" s="20">
        <f t="shared" si="28"/>
        <v>31799099.818098109</v>
      </c>
      <c r="AA35" s="15"/>
      <c r="AB35" s="15"/>
      <c r="AC35" s="20">
        <f>Parameters!B22*POWER(Parameters!$B$12,$C$31)</f>
        <v>21126456670.675076</v>
      </c>
      <c r="AD35" s="20">
        <f>$AD$31*Parameters!F22</f>
        <v>46592929.437436692</v>
      </c>
      <c r="AE35" s="20">
        <f t="shared" si="29"/>
        <v>21097050107.043205</v>
      </c>
      <c r="AF35" s="20">
        <f t="shared" si="26"/>
        <v>21141250500.294411</v>
      </c>
      <c r="AG35" s="23">
        <f>($AA$31/10)+($I$31*Parameters!F22)</f>
        <v>326981.04909090913</v>
      </c>
      <c r="AH35" s="20">
        <f t="shared" si="30"/>
        <v>64520.712028108035</v>
      </c>
      <c r="AI35" s="20">
        <f t="shared" si="31"/>
        <v>64655.889260470874</v>
      </c>
      <c r="AJ35" s="34">
        <f>(POWER(AH35, -0.26) - 1)/-0.26</f>
        <v>3.6301284189523595</v>
      </c>
      <c r="AK35" s="34">
        <f t="shared" si="32"/>
        <v>28.046002219363508</v>
      </c>
      <c r="AL35" s="34">
        <f t="shared" si="33"/>
        <v>4.8096991514660248</v>
      </c>
      <c r="AM35" s="38">
        <f t="shared" si="34"/>
        <v>3.6302459384468935</v>
      </c>
      <c r="AN35" s="38">
        <f t="shared" si="35"/>
        <v>28.023382165212809</v>
      </c>
      <c r="AO35" s="38">
        <f t="shared" si="36"/>
        <v>4.8106080892602963</v>
      </c>
      <c r="AQ35">
        <v>5.2958476393645908</v>
      </c>
      <c r="AU35">
        <f t="shared" si="37"/>
        <v>2.1931026313116369</v>
      </c>
      <c r="AY35">
        <v>5.2937115680033804</v>
      </c>
      <c r="BC35">
        <f t="shared" si="38"/>
        <v>2.1933098479832474</v>
      </c>
    </row>
    <row r="36" spans="1:55">
      <c r="A36">
        <v>5</v>
      </c>
      <c r="D36" s="20"/>
      <c r="E36" s="19"/>
      <c r="F36" s="20"/>
      <c r="G36" s="20"/>
      <c r="H36" s="27"/>
      <c r="I36" s="23"/>
      <c r="J36" s="23"/>
      <c r="K36" s="20"/>
      <c r="L36" s="20"/>
      <c r="M36" s="20"/>
      <c r="N36" s="27"/>
      <c r="O36" s="20"/>
      <c r="P36" s="20"/>
      <c r="Q36" s="20"/>
      <c r="R36" s="20"/>
      <c r="S36" s="20"/>
      <c r="T36" s="20"/>
      <c r="U36" s="31">
        <f>Parameters!D23</f>
        <v>7.0583126136746943E-2</v>
      </c>
      <c r="V36" s="31">
        <f>(U36*$T$31)/(Parameters!B23*POWER(Parameters!$B$12,$C$31))</f>
        <v>3.7472511291373471E-3</v>
      </c>
      <c r="W36" s="27">
        <f t="shared" si="27"/>
        <v>103773438.81581923</v>
      </c>
      <c r="X36" s="23">
        <f>Parameters!E23</f>
        <v>4.2527270739643942E-2</v>
      </c>
      <c r="Y36" s="23">
        <f>(X36*$T$31)/(Parameters!B23*POWER(Parameters!$B$12,$C$31))</f>
        <v>2.2577685634030645E-3</v>
      </c>
      <c r="Z36" s="20">
        <f t="shared" si="28"/>
        <v>62524874.848333225</v>
      </c>
      <c r="AA36" s="15"/>
      <c r="AB36" s="15"/>
      <c r="AC36" s="20">
        <f>Parameters!B23*POWER(Parameters!$B$12,$C$31)</f>
        <v>27693217038.194305</v>
      </c>
      <c r="AD36" s="20">
        <f>$AD$31*Parameters!F23</f>
        <v>39936796.660660028</v>
      </c>
      <c r="AE36" s="20">
        <f t="shared" si="29"/>
        <v>27629380396.039146</v>
      </c>
      <c r="AF36" s="20">
        <f t="shared" si="26"/>
        <v>27670628960.006634</v>
      </c>
      <c r="AG36" s="23">
        <f>($AA$31/10)+($I$31*Parameters!F23)</f>
        <v>318937.89636363642</v>
      </c>
      <c r="AH36" s="20">
        <f t="shared" si="30"/>
        <v>86629.342925550503</v>
      </c>
      <c r="AI36" s="20">
        <f t="shared" si="31"/>
        <v>86758.67394716249</v>
      </c>
      <c r="AJ36" s="34">
        <f>(POWER(AH36, -0.26) - 1)/-0.26</f>
        <v>3.6460599933006415</v>
      </c>
      <c r="AK36" s="34">
        <f t="shared" si="32"/>
        <v>29.639159654191705</v>
      </c>
      <c r="AL36" s="34">
        <f t="shared" si="33"/>
        <v>4.9376650203335561</v>
      </c>
      <c r="AM36" s="38">
        <f t="shared" si="34"/>
        <v>3.6461375888080449</v>
      </c>
      <c r="AN36" s="38">
        <f t="shared" si="35"/>
        <v>29.612547201327956</v>
      </c>
      <c r="AO36" s="38">
        <f t="shared" si="36"/>
        <v>4.9383129054695054</v>
      </c>
      <c r="AQ36">
        <v>5.4441858577928528</v>
      </c>
      <c r="AU36">
        <f t="shared" si="37"/>
        <v>2.2220857364947815</v>
      </c>
      <c r="AY36">
        <v>5.4417411920568179</v>
      </c>
      <c r="BC36">
        <f t="shared" si="38"/>
        <v>2.2222315148223206</v>
      </c>
    </row>
    <row r="37" spans="1:55">
      <c r="A37">
        <v>6</v>
      </c>
      <c r="N37" s="29"/>
      <c r="O37" s="23"/>
      <c r="P37" s="23"/>
      <c r="Q37" s="23"/>
      <c r="R37" s="23"/>
      <c r="S37" s="23"/>
      <c r="T37" s="23"/>
      <c r="U37" s="31">
        <f>Parameters!D24</f>
        <v>9.0905110853151228E-2</v>
      </c>
      <c r="V37" s="31">
        <f>(U37*$T$31)/(Parameters!B24*POWER(Parameters!$B$12,$C$31))</f>
        <v>4.0470312194683345E-3</v>
      </c>
      <c r="W37" s="27">
        <f t="shared" si="27"/>
        <v>133651433.0760631</v>
      </c>
      <c r="X37" s="23">
        <f>Parameters!E24</f>
        <v>6.7619180713536689E-2</v>
      </c>
      <c r="Y37" s="23">
        <f>(X37*$T$31)/(Parameters!B24*POWER(Parameters!$B$12,$C$31))</f>
        <v>3.0103580845374195E-3</v>
      </c>
      <c r="Z37" s="20">
        <f t="shared" si="28"/>
        <v>99415756.946741387</v>
      </c>
      <c r="AA37" s="15"/>
      <c r="AB37" s="15"/>
      <c r="AC37" s="20">
        <f>Parameters!B24*POWER(Parameters!$B$12,$C$31)</f>
        <v>33024561914.207596</v>
      </c>
      <c r="AD37" s="20">
        <f>$AD$31*Parameters!F24</f>
        <v>33280663.883883357</v>
      </c>
      <c r="AE37" s="20">
        <f t="shared" si="29"/>
        <v>32924191145.015419</v>
      </c>
      <c r="AF37" s="20">
        <f t="shared" si="26"/>
        <v>32958426821.144737</v>
      </c>
      <c r="AG37" s="23">
        <f>($AA$31/10)+($I$31*Parameters!F24)</f>
        <v>310894.74363636365</v>
      </c>
      <c r="AH37" s="20">
        <f t="shared" si="30"/>
        <v>105901.40817409579</v>
      </c>
      <c r="AI37" s="20">
        <f t="shared" si="31"/>
        <v>106011.52800349169</v>
      </c>
      <c r="AJ37" s="34">
        <f>(POWER(AH37, -0.26) - 1)/-0.26</f>
        <v>3.6562419364550913</v>
      </c>
      <c r="AK37" s="34">
        <f t="shared" si="32"/>
        <v>30.657353969636691</v>
      </c>
      <c r="AL37" s="34">
        <f t="shared" si="33"/>
        <v>5.0249017349722003</v>
      </c>
      <c r="AM37" s="38">
        <f t="shared" si="34"/>
        <v>3.6562932468041627</v>
      </c>
      <c r="AN37" s="38">
        <f t="shared" si="35"/>
        <v>30.628113000939727</v>
      </c>
      <c r="AO37" s="38">
        <f t="shared" si="36"/>
        <v>5.025353094284398</v>
      </c>
      <c r="AQ37">
        <v>5.5369083403679973</v>
      </c>
      <c r="AU37">
        <f t="shared" si="37"/>
        <v>2.2416292590373192</v>
      </c>
      <c r="AY37">
        <v>5.534267160242603</v>
      </c>
      <c r="BC37">
        <f t="shared" si="38"/>
        <v>2.2417299333961704</v>
      </c>
    </row>
    <row r="38" spans="1:55">
      <c r="A38">
        <v>7</v>
      </c>
      <c r="U38" s="31">
        <f>Parameters!D25</f>
        <v>0.11035602414482847</v>
      </c>
      <c r="V38" s="31">
        <f>(U38*$T$31)/(Parameters!B25*POWER(Parameters!$B$12,$C$31))</f>
        <v>4.1969212646338298E-3</v>
      </c>
      <c r="W38" s="27">
        <f t="shared" si="27"/>
        <v>162248751.88105732</v>
      </c>
      <c r="X38" s="23">
        <f>Parameters!E25</f>
        <v>9.8944895708799885E-2</v>
      </c>
      <c r="Y38" s="23">
        <f>(X38*$T$31)/(Parameters!B25*POWER(Parameters!$B$12,$C$31))</f>
        <v>3.7629476056717744E-3</v>
      </c>
      <c r="Z38" s="20">
        <f t="shared" si="28"/>
        <v>145471767.02094409</v>
      </c>
      <c r="AC38" s="20">
        <f>Parameters!B25*POWER(Parameters!$B$12,$C$31)</f>
        <v>38658993497.990509</v>
      </c>
      <c r="AD38" s="20">
        <f>$AD$31*Parameters!F25</f>
        <v>26624531.107106686</v>
      </c>
      <c r="AE38" s="20">
        <f t="shared" si="29"/>
        <v>38523369277.21656</v>
      </c>
      <c r="AF38" s="20">
        <f t="shared" si="26"/>
        <v>38540146262.076675</v>
      </c>
      <c r="AG38" s="23">
        <f>($AA$31/10)+($I$31*Parameters!F25)</f>
        <v>302851.59090909094</v>
      </c>
      <c r="AH38" s="20">
        <f t="shared" si="30"/>
        <v>127202.13607456461</v>
      </c>
      <c r="AI38" s="20">
        <f t="shared" si="31"/>
        <v>127257.53279481876</v>
      </c>
      <c r="AJ38" s="34">
        <f>(POWER(AH38, -0.26) - 1)/-0.26</f>
        <v>3.6650790075019297</v>
      </c>
      <c r="AK38" s="34">
        <f t="shared" si="32"/>
        <v>31.541061074320531</v>
      </c>
      <c r="AL38" s="34">
        <f t="shared" si="33"/>
        <v>5.1044944043753437</v>
      </c>
      <c r="AM38" s="38">
        <f t="shared" si="34"/>
        <v>3.6650995050527024</v>
      </c>
      <c r="AN38" s="38">
        <f t="shared" si="35"/>
        <v>31.508738825793703</v>
      </c>
      <c r="AO38" s="38">
        <f t="shared" si="36"/>
        <v>5.1046834990983614</v>
      </c>
      <c r="AQ38">
        <v>5.6161429000979428</v>
      </c>
      <c r="AU38">
        <f t="shared" si="37"/>
        <v>2.259312816848376</v>
      </c>
      <c r="AY38">
        <v>5.613264542651959</v>
      </c>
      <c r="BC38">
        <f t="shared" si="38"/>
        <v>2.2593546643009286</v>
      </c>
    </row>
    <row r="39" spans="1:55">
      <c r="A39">
        <v>8</v>
      </c>
      <c r="U39" s="31">
        <f>Parameters!D26</f>
        <v>0.13623161609900061</v>
      </c>
      <c r="V39" s="31">
        <f>(U39*$T$31)/(Parameters!B26*POWER(Parameters!$B$12,$C$31))</f>
        <v>4.3468113097993215E-3</v>
      </c>
      <c r="W39" s="27">
        <f t="shared" si="27"/>
        <v>200291826.84032044</v>
      </c>
      <c r="X39" s="23">
        <f>Parameters!E26</f>
        <v>0.14151958217119773</v>
      </c>
      <c r="Y39" s="23">
        <f>(X39*$T$31)/(Parameters!B26*POWER(Parameters!$B$12,$C$31))</f>
        <v>4.515537126806129E-3</v>
      </c>
      <c r="Z39" s="20">
        <f t="shared" si="28"/>
        <v>208066353.89357299</v>
      </c>
      <c r="AC39" s="20">
        <f>Parameters!B26*POWER(Parameters!$B$12,$C$31)</f>
        <v>46077874691.452217</v>
      </c>
      <c r="AD39" s="20">
        <f>$AD$31*Parameters!F26</f>
        <v>19968398.330330014</v>
      </c>
      <c r="AE39" s="20">
        <f t="shared" si="29"/>
        <v>45897551262.94223</v>
      </c>
      <c r="AF39" s="20">
        <f t="shared" si="26"/>
        <v>45889776735.888977</v>
      </c>
      <c r="AG39" s="23">
        <f>($AA$31/10)+($I$31*Parameters!F26)</f>
        <v>294808.43818181823</v>
      </c>
      <c r="AH39" s="20">
        <f t="shared" si="30"/>
        <v>155686.01613307852</v>
      </c>
      <c r="AI39" s="20">
        <f t="shared" si="31"/>
        <v>155659.64467946204</v>
      </c>
      <c r="AJ39" s="34">
        <f>(POWER(AH39, -0.26) - 1)/-0.26</f>
        <v>3.6743464900761644</v>
      </c>
      <c r="AK39" s="34">
        <f t="shared" si="32"/>
        <v>32.467809331744</v>
      </c>
      <c r="AL39" s="34">
        <f t="shared" si="33"/>
        <v>5.1922496055740419</v>
      </c>
      <c r="AM39" s="38">
        <f t="shared" si="34"/>
        <v>3.6743389226896754</v>
      </c>
      <c r="AN39" s="38">
        <f t="shared" si="35"/>
        <v>32.432680589491</v>
      </c>
      <c r="AO39" s="38">
        <f t="shared" si="36"/>
        <v>5.1921760347602852</v>
      </c>
      <c r="AQ39">
        <v>5.6980531176660678</v>
      </c>
      <c r="AU39">
        <f t="shared" si="37"/>
        <v>2.2786508301128636</v>
      </c>
      <c r="AY39">
        <v>5.6949697619470285</v>
      </c>
      <c r="BC39">
        <f t="shared" si="38"/>
        <v>2.2786346865525164</v>
      </c>
    </row>
    <row r="40" spans="1:55">
      <c r="A40">
        <v>9</v>
      </c>
      <c r="U40" s="31">
        <f>Parameters!D27</f>
        <v>0.17539672338276532</v>
      </c>
      <c r="V40" s="31">
        <f>(U40*$T$31)/(Parameters!B27*POWER(Parameters!$B$12,$C$31))</f>
        <v>4.4967013549648167E-3</v>
      </c>
      <c r="W40" s="27">
        <f t="shared" si="27"/>
        <v>257873547.66907248</v>
      </c>
      <c r="X40" s="23">
        <f>Parameters!E27</f>
        <v>0.20548666221606829</v>
      </c>
      <c r="Y40" s="23">
        <f>(X40*$T$31)/(Parameters!B27*POWER(Parameters!$B$12,$C$31))</f>
        <v>5.268126647940484E-3</v>
      </c>
      <c r="Z40" s="20">
        <f t="shared" si="28"/>
        <v>302112682.39427495</v>
      </c>
      <c r="AC40" s="20">
        <f>Parameters!B27*POWER(Parameters!$B$12,$C$31)</f>
        <v>57347270212.720222</v>
      </c>
      <c r="AD40" s="20">
        <f>$AD$31*Parameters!F27</f>
        <v>13312265.553553343</v>
      </c>
      <c r="AE40" s="20">
        <f t="shared" si="29"/>
        <v>57102708930.604698</v>
      </c>
      <c r="AF40" s="20">
        <f t="shared" si="26"/>
        <v>57058469795.879501</v>
      </c>
      <c r="AG40" s="23">
        <f>($AA$31/10)+($I$31*Parameters!F27)</f>
        <v>286765.28545454552</v>
      </c>
      <c r="AH40" s="20">
        <f t="shared" si="30"/>
        <v>199126.992795144</v>
      </c>
      <c r="AI40" s="20">
        <f t="shared" si="31"/>
        <v>198972.72330378951</v>
      </c>
      <c r="AJ40" s="34">
        <f>(POWER(AH40, -0.26) - 1)/-0.26</f>
        <v>3.6849954944341525</v>
      </c>
      <c r="AK40" s="34">
        <f t="shared" si="32"/>
        <v>33.532709767542812</v>
      </c>
      <c r="AL40" s="34">
        <f t="shared" si="33"/>
        <v>5.2991301351022395</v>
      </c>
      <c r="AM40" s="38">
        <f t="shared" si="34"/>
        <v>3.6849630165207441</v>
      </c>
      <c r="AN40" s="38">
        <f t="shared" si="35"/>
        <v>33.495089972597867</v>
      </c>
      <c r="AO40" s="38">
        <f t="shared" si="36"/>
        <v>5.2987935440951857</v>
      </c>
      <c r="AQ40">
        <v>5.7907434555109427</v>
      </c>
      <c r="AU40">
        <f t="shared" si="37"/>
        <v>2.30198395630861</v>
      </c>
      <c r="AY40">
        <v>5.7874942740876962</v>
      </c>
      <c r="BC40">
        <f t="shared" si="38"/>
        <v>2.3019108462525617</v>
      </c>
    </row>
    <row r="41" spans="1:55">
      <c r="A41">
        <v>10</v>
      </c>
      <c r="U41" s="31">
        <f>Parameters!D28</f>
        <v>0.31542540330404345</v>
      </c>
      <c r="V41" s="31">
        <f>(U41*$T$31)/(Parameters!B28*POWER(Parameters!$B$12,$C$31))</f>
        <v>4.6465914001303111E-3</v>
      </c>
      <c r="W41" s="27">
        <f t="shared" si="27"/>
        <v>463747932.15181696</v>
      </c>
      <c r="X41" s="23">
        <f>Parameters!E28</f>
        <v>0.40870536319512574</v>
      </c>
      <c r="Y41" s="23">
        <f>(X41*$T$31)/(Parameters!B28*POWER(Parameters!$B$12,$C$31))</f>
        <v>6.0207161690748389E-3</v>
      </c>
      <c r="Z41" s="20">
        <f t="shared" si="28"/>
        <v>600890939.84101188</v>
      </c>
      <c r="AC41" s="20">
        <f>Parameters!B28*POWER(Parameters!$B$12,$C$31)</f>
        <v>99803897570.76799</v>
      </c>
      <c r="AD41" s="20">
        <f>$AD$31*Parameters!F28</f>
        <v>6656132.7767766714</v>
      </c>
      <c r="AE41" s="20">
        <f t="shared" si="29"/>
        <v>99346805771.39296</v>
      </c>
      <c r="AF41" s="20">
        <f t="shared" si="26"/>
        <v>99209662763.703751</v>
      </c>
      <c r="AG41" s="23">
        <f>($AA$31/10)+($I$31*Parameters!F28)</f>
        <v>278722.13272727275</v>
      </c>
      <c r="AH41" s="20">
        <f t="shared" si="30"/>
        <v>356436.73072996672</v>
      </c>
      <c r="AI41" s="20">
        <f t="shared" si="31"/>
        <v>355944.68868670566</v>
      </c>
      <c r="AJ41" s="34">
        <f>(POWER(AH41, -0.26) - 1)/-0.26</f>
        <v>3.7076342506734541</v>
      </c>
      <c r="AK41" s="34">
        <f t="shared" si="32"/>
        <v>35.796585391472966</v>
      </c>
      <c r="AL41" s="34">
        <f t="shared" si="33"/>
        <v>5.5519824516257517</v>
      </c>
      <c r="AM41" s="38">
        <f t="shared" si="34"/>
        <v>3.7075844904581365</v>
      </c>
      <c r="AN41" s="38">
        <f t="shared" si="35"/>
        <v>35.757237366337115</v>
      </c>
      <c r="AO41" s="38">
        <f t="shared" si="36"/>
        <v>5.5513825168930087</v>
      </c>
      <c r="AQ41">
        <v>5.9830247694183054</v>
      </c>
      <c r="AU41">
        <f t="shared" si="37"/>
        <v>2.3562645122366357</v>
      </c>
      <c r="AY41">
        <v>5.9797355599003801</v>
      </c>
      <c r="BC41">
        <f t="shared" si="38"/>
        <v>2.3561372024763347</v>
      </c>
    </row>
  </sheetData>
  <mergeCells count="39">
    <mergeCell ref="BB29:BE29"/>
    <mergeCell ref="BB1:BE1"/>
    <mergeCell ref="AT15:AW15"/>
    <mergeCell ref="AM15:AO15"/>
    <mergeCell ref="AJ15:AL15"/>
    <mergeCell ref="BB15:BE15"/>
    <mergeCell ref="X1:Z1"/>
    <mergeCell ref="AP1:AS1"/>
    <mergeCell ref="AX1:BA1"/>
    <mergeCell ref="AC1:AD1"/>
    <mergeCell ref="B1:C1"/>
    <mergeCell ref="AA1:AB1"/>
    <mergeCell ref="U1:W1"/>
    <mergeCell ref="D1:H1"/>
    <mergeCell ref="I1:N1"/>
    <mergeCell ref="AJ1:AK1"/>
    <mergeCell ref="AT1:AW1"/>
    <mergeCell ref="AM1:AO1"/>
    <mergeCell ref="AA15:AB15"/>
    <mergeCell ref="AC15:AD15"/>
    <mergeCell ref="AP15:AS15"/>
    <mergeCell ref="AX15:BA15"/>
    <mergeCell ref="B15:C15"/>
    <mergeCell ref="D15:H15"/>
    <mergeCell ref="I15:N15"/>
    <mergeCell ref="U15:W15"/>
    <mergeCell ref="X15:Z15"/>
    <mergeCell ref="B29:C29"/>
    <mergeCell ref="D29:H29"/>
    <mergeCell ref="I29:N29"/>
    <mergeCell ref="U29:W29"/>
    <mergeCell ref="X29:Z29"/>
    <mergeCell ref="AX29:BA29"/>
    <mergeCell ref="AA29:AB29"/>
    <mergeCell ref="AC29:AD29"/>
    <mergeCell ref="AP29:AS29"/>
    <mergeCell ref="AJ29:AL29"/>
    <mergeCell ref="AM29:AO29"/>
    <mergeCell ref="AT29:AW29"/>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9CA675-7C36-4767-A76C-0F167AE6D16C}">
  <dimension ref="A1:H26"/>
  <sheetViews>
    <sheetView topLeftCell="D10" workbookViewId="0">
      <selection activeCell="G27" sqref="G27"/>
    </sheetView>
  </sheetViews>
  <sheetFormatPr defaultRowHeight="15"/>
  <cols>
    <col min="2" max="2" width="40.140625" bestFit="1" customWidth="1"/>
    <col min="3" max="4" width="40.140625" customWidth="1"/>
    <col min="5" max="5" width="37.5703125" bestFit="1" customWidth="1"/>
    <col min="6" max="6" width="32.85546875" customWidth="1"/>
    <col min="7" max="7" width="34" customWidth="1"/>
    <col min="8" max="8" width="25.42578125" customWidth="1"/>
  </cols>
  <sheetData>
    <row r="1" spans="1:8" s="14" customFormat="1">
      <c r="A1" s="14" t="s">
        <v>475</v>
      </c>
      <c r="B1" s="14" t="s">
        <v>495</v>
      </c>
      <c r="C1" s="14" t="s">
        <v>496</v>
      </c>
      <c r="D1" s="14" t="s">
        <v>497</v>
      </c>
      <c r="E1" s="14" t="s">
        <v>413</v>
      </c>
      <c r="F1" s="14" t="s">
        <v>498</v>
      </c>
      <c r="G1" s="14" t="s">
        <v>499</v>
      </c>
      <c r="H1" s="14" t="s">
        <v>500</v>
      </c>
    </row>
    <row r="2" spans="1:8">
      <c r="A2">
        <v>1</v>
      </c>
      <c r="B2">
        <v>0.25</v>
      </c>
      <c r="C2" s="23">
        <v>0</v>
      </c>
      <c r="D2" s="22">
        <f>B2*Parameters!B19</f>
        <v>199525000</v>
      </c>
      <c r="E2">
        <f>D2/$D$13</f>
        <v>3.6096393698449797E-3</v>
      </c>
      <c r="F2">
        <f>C2*Parameters!B19</f>
        <v>0</v>
      </c>
      <c r="G2">
        <v>0</v>
      </c>
      <c r="H2">
        <f>G2/$D$13</f>
        <v>0</v>
      </c>
    </row>
    <row r="3" spans="1:8">
      <c r="A3">
        <v>2</v>
      </c>
      <c r="B3">
        <v>0.22</v>
      </c>
      <c r="C3" s="23">
        <v>0.1</v>
      </c>
      <c r="D3" s="22">
        <f>B3*Parameters!B20</f>
        <v>796026000</v>
      </c>
      <c r="E3">
        <f t="shared" ref="E3:E11" si="0">D3/$D$13</f>
        <v>1.4401036406566694E-2</v>
      </c>
      <c r="F3">
        <f>C3*Parameters!B20</f>
        <v>361830000</v>
      </c>
      <c r="G3">
        <f>F3*$G$13</f>
        <v>181672816.31771222</v>
      </c>
      <c r="H3">
        <f>G3/$D$13</f>
        <v>3.2866725984765288E-3</v>
      </c>
    </row>
    <row r="4" spans="1:8">
      <c r="A4">
        <v>3</v>
      </c>
      <c r="B4">
        <v>0.23</v>
      </c>
      <c r="C4" s="23">
        <v>0.15</v>
      </c>
      <c r="D4" s="22">
        <f>B4*Parameters!B21</f>
        <v>1735603000</v>
      </c>
      <c r="E4">
        <f t="shared" si="0"/>
        <v>3.1399077404942015E-2</v>
      </c>
      <c r="F4">
        <f>C4*Parameters!B21</f>
        <v>1131915000</v>
      </c>
      <c r="G4">
        <f>F4*$G$13</f>
        <v>568328181.4174149</v>
      </c>
      <c r="H4">
        <f t="shared" ref="H3:H11" si="1">G4/$D$13</f>
        <v>1.0281717973370259E-2</v>
      </c>
    </row>
    <row r="5" spans="1:8">
      <c r="A5">
        <v>4</v>
      </c>
      <c r="B5">
        <v>0.24</v>
      </c>
      <c r="C5" s="23">
        <v>0.2</v>
      </c>
      <c r="D5" s="22">
        <f>B5*Parameters!B22</f>
        <v>2857320000</v>
      </c>
      <c r="E5">
        <f t="shared" si="0"/>
        <v>5.1692242898110294E-2</v>
      </c>
      <c r="F5">
        <f>C5*Parameters!B22</f>
        <v>2381100000</v>
      </c>
      <c r="G5">
        <f t="shared" ref="G3:G11" si="2">F5*$G$13</f>
        <v>1195536972.9820762</v>
      </c>
      <c r="H5">
        <f t="shared" si="1"/>
        <v>2.162865468378096E-2</v>
      </c>
    </row>
    <row r="6" spans="1:8">
      <c r="A6">
        <v>5</v>
      </c>
      <c r="B6">
        <v>0.25</v>
      </c>
      <c r="C6" s="23">
        <v>0.3</v>
      </c>
      <c r="D6" s="22">
        <f>B6*Parameters!B23</f>
        <v>3901525000</v>
      </c>
      <c r="E6">
        <f t="shared" si="0"/>
        <v>7.0583126136746943E-2</v>
      </c>
      <c r="F6">
        <f>C6*Parameters!B23</f>
        <v>4681830000</v>
      </c>
      <c r="G6">
        <f t="shared" si="2"/>
        <v>2350720619.1326165</v>
      </c>
      <c r="H6">
        <f t="shared" si="1"/>
        <v>4.2527270739643942E-2</v>
      </c>
    </row>
    <row r="7" spans="1:8">
      <c r="A7">
        <v>6</v>
      </c>
      <c r="B7">
        <v>0.27</v>
      </c>
      <c r="C7">
        <v>0.4</v>
      </c>
      <c r="D7" s="22">
        <f>B7*Parameters!B24</f>
        <v>5024835000</v>
      </c>
      <c r="E7">
        <f t="shared" si="0"/>
        <v>9.0905110853151228E-2</v>
      </c>
      <c r="F7">
        <f>C7*Parameters!B24</f>
        <v>7444200000</v>
      </c>
      <c r="G7">
        <f t="shared" si="2"/>
        <v>3737691123.5450721</v>
      </c>
      <c r="H7">
        <f t="shared" si="1"/>
        <v>6.7619180713536689E-2</v>
      </c>
    </row>
    <row r="8" spans="1:8">
      <c r="A8">
        <v>7</v>
      </c>
      <c r="B8">
        <v>0.28000000000000003</v>
      </c>
      <c r="C8" s="12">
        <v>0.5</v>
      </c>
      <c r="D8" s="22">
        <f>B8*Parameters!B25</f>
        <v>6099996000.000001</v>
      </c>
      <c r="E8">
        <f t="shared" si="0"/>
        <v>0.11035602414482847</v>
      </c>
      <c r="F8">
        <f>C8*Parameters!B25</f>
        <v>10892850000</v>
      </c>
      <c r="G8">
        <f t="shared" si="2"/>
        <v>5469238971.9658175</v>
      </c>
      <c r="H8">
        <f t="shared" si="1"/>
        <v>9.8944895708799885E-2</v>
      </c>
    </row>
    <row r="9" spans="1:8">
      <c r="A9">
        <v>8</v>
      </c>
      <c r="B9">
        <v>0.28999999999999998</v>
      </c>
      <c r="C9">
        <v>0.6</v>
      </c>
      <c r="D9" s="22">
        <f>B9*Parameters!B26</f>
        <v>7530284999.999999</v>
      </c>
      <c r="E9">
        <f t="shared" si="0"/>
        <v>0.13623161609900061</v>
      </c>
      <c r="F9">
        <f>C9*Parameters!B26</f>
        <v>15579900000</v>
      </c>
      <c r="G9">
        <f t="shared" si="2"/>
        <v>7822580523.8601685</v>
      </c>
      <c r="H9">
        <f t="shared" si="1"/>
        <v>0.14151958217119773</v>
      </c>
    </row>
    <row r="10" spans="1:8">
      <c r="A10">
        <v>9</v>
      </c>
      <c r="B10">
        <v>0.3</v>
      </c>
      <c r="C10" s="23">
        <v>0.7</v>
      </c>
      <c r="D10" s="22">
        <f>B10*Parameters!B27</f>
        <v>9695160000</v>
      </c>
      <c r="E10">
        <f t="shared" si="0"/>
        <v>0.17539672338276532</v>
      </c>
      <c r="F10">
        <f>C10*Parameters!B27</f>
        <v>22622040000</v>
      </c>
      <c r="G10">
        <f t="shared" si="2"/>
        <v>11358399573.423815</v>
      </c>
      <c r="H10">
        <f t="shared" si="1"/>
        <v>0.20548666221606829</v>
      </c>
    </row>
    <row r="11" spans="1:8">
      <c r="A11">
        <v>10</v>
      </c>
      <c r="B11">
        <v>0.31</v>
      </c>
      <c r="C11">
        <v>0.8</v>
      </c>
      <c r="D11" s="22">
        <f>B11*Parameters!B28</f>
        <v>17435330000</v>
      </c>
      <c r="E11">
        <f t="shared" si="0"/>
        <v>0.31542540330404345</v>
      </c>
      <c r="F11">
        <f>C11*Parameters!B28</f>
        <v>44994400000</v>
      </c>
      <c r="G11">
        <f t="shared" si="2"/>
        <v>22591436217.355309</v>
      </c>
      <c r="H11">
        <f t="shared" si="1"/>
        <v>0.40870536319512574</v>
      </c>
    </row>
    <row r="12" spans="1:8">
      <c r="D12" t="s">
        <v>501</v>
      </c>
      <c r="F12" t="s">
        <v>501</v>
      </c>
      <c r="G12" t="s">
        <v>502</v>
      </c>
    </row>
    <row r="13" spans="1:8">
      <c r="D13" s="23">
        <f>SUM(D2:D11)</f>
        <v>55275605000</v>
      </c>
      <c r="F13" s="23">
        <f>SUM(F2:F11)</f>
        <v>110090065000</v>
      </c>
      <c r="G13">
        <f>D13/F13</f>
        <v>0.50209439879974638</v>
      </c>
    </row>
    <row r="14" spans="1:8">
      <c r="G14" t="s">
        <v>503</v>
      </c>
    </row>
    <row r="15" spans="1:8">
      <c r="F15" s="23"/>
      <c r="G15" s="23">
        <f>SUM(G2:G11)</f>
        <v>55275605000</v>
      </c>
    </row>
    <row r="16" spans="1:8">
      <c r="G16" s="23">
        <f>D13-G15</f>
        <v>0</v>
      </c>
    </row>
    <row r="17" spans="1:8">
      <c r="A17" s="14" t="s">
        <v>475</v>
      </c>
      <c r="B17" s="14" t="s">
        <v>495</v>
      </c>
      <c r="C17" s="14" t="s">
        <v>496</v>
      </c>
      <c r="D17" s="14" t="s">
        <v>497</v>
      </c>
      <c r="E17" s="14" t="s">
        <v>413</v>
      </c>
      <c r="F17" s="14" t="s">
        <v>498</v>
      </c>
      <c r="G17" s="14" t="s">
        <v>499</v>
      </c>
      <c r="H17" s="14" t="s">
        <v>500</v>
      </c>
    </row>
    <row r="18" spans="1:8">
      <c r="A18">
        <v>1</v>
      </c>
      <c r="B18">
        <f>(B2+B3)/2</f>
        <v>0.23499999999999999</v>
      </c>
      <c r="C18" s="23">
        <v>0.05</v>
      </c>
      <c r="D18" s="22">
        <f>B18*Parameters!D35</f>
        <v>0</v>
      </c>
      <c r="E18">
        <f>D18/$D$24</f>
        <v>0</v>
      </c>
      <c r="F18">
        <f>C18*Parameters!D35</f>
        <v>0</v>
      </c>
      <c r="G18">
        <v>0</v>
      </c>
      <c r="H18">
        <f>G18/$D$24</f>
        <v>0</v>
      </c>
    </row>
    <row r="19" spans="1:8">
      <c r="A19">
        <v>2</v>
      </c>
      <c r="B19">
        <f>(B4+B5)/2</f>
        <v>0.23499999999999999</v>
      </c>
      <c r="C19" s="23">
        <f>(C4+C5)/2</f>
        <v>0.17499999999999999</v>
      </c>
      <c r="D19" s="22">
        <f>B19*Parameters!D36</f>
        <v>1375016.8660000002</v>
      </c>
      <c r="E19">
        <f t="shared" ref="E19:E22" si="3">D19/$D$24</f>
        <v>2.2599597321422193E-2</v>
      </c>
      <c r="F19">
        <f>C19*Parameters!D36</f>
        <v>1023948.73</v>
      </c>
      <c r="G19">
        <f>F19*$F$26</f>
        <v>462568.02073718084</v>
      </c>
      <c r="H19">
        <f t="shared" ref="H19:H22" si="4">G19/$D$24</f>
        <v>7.6027074728460507E-3</v>
      </c>
    </row>
    <row r="20" spans="1:8">
      <c r="A20">
        <v>3</v>
      </c>
      <c r="B20">
        <f>(B6+B7)/2</f>
        <v>0.26</v>
      </c>
      <c r="C20" s="23">
        <f>(C6+C7)/2</f>
        <v>0.35</v>
      </c>
      <c r="D20" s="22">
        <f>B20*Parameters!D37</f>
        <v>5523538.904000001</v>
      </c>
      <c r="E20">
        <f t="shared" si="3"/>
        <v>9.0784162802850815E-2</v>
      </c>
      <c r="F20">
        <f>C20*Parameters!D37</f>
        <v>7435533.1400000006</v>
      </c>
      <c r="G20">
        <f t="shared" ref="G20:G22" si="5">F20*$F$26</f>
        <v>3358996.1556918146</v>
      </c>
      <c r="H20">
        <f t="shared" si="4"/>
        <v>5.5208021370437628E-2</v>
      </c>
    </row>
    <row r="21" spans="1:8">
      <c r="A21">
        <v>4</v>
      </c>
      <c r="B21">
        <f>(B8+B9)/2</f>
        <v>0.28500000000000003</v>
      </c>
      <c r="C21" s="23">
        <f>(C8+C9)/2</f>
        <v>0.55000000000000004</v>
      </c>
      <c r="D21" s="22">
        <f>B21*Parameters!D38</f>
        <v>12143995.549500002</v>
      </c>
      <c r="E21">
        <f t="shared" si="3"/>
        <v>0.19959712209947778</v>
      </c>
      <c r="F21">
        <f>C21*Parameters!D38</f>
        <v>23435780.885000005</v>
      </c>
      <c r="G21">
        <f>F21*$F$26</f>
        <v>10587095.291777654</v>
      </c>
      <c r="H21">
        <f t="shared" si="4"/>
        <v>0.17400811314680978</v>
      </c>
    </row>
    <row r="22" spans="1:8">
      <c r="A22">
        <v>5</v>
      </c>
      <c r="B22">
        <f>(B10+B11)/2</f>
        <v>0.30499999999999999</v>
      </c>
      <c r="C22" s="23">
        <f>(C10+C11)/2</f>
        <v>0.75</v>
      </c>
      <c r="D22" s="22">
        <f>B22*Parameters!D39</f>
        <v>41799986.998500004</v>
      </c>
      <c r="E22">
        <f t="shared" si="3"/>
        <v>0.68701911777624924</v>
      </c>
      <c r="F22">
        <f>C22*Parameters!D39</f>
        <v>102786853.27500001</v>
      </c>
      <c r="G22">
        <f>F22*$F$26</f>
        <v>46433878.849793352</v>
      </c>
      <c r="H22">
        <f t="shared" si="4"/>
        <v>0.76318115800990649</v>
      </c>
    </row>
    <row r="23" spans="1:8">
      <c r="D23" t="s">
        <v>501</v>
      </c>
      <c r="F23" t="s">
        <v>501</v>
      </c>
      <c r="G23" t="s">
        <v>503</v>
      </c>
    </row>
    <row r="24" spans="1:8">
      <c r="D24" s="23">
        <f>SUM(D18:D22)</f>
        <v>60842538.318000004</v>
      </c>
      <c r="F24">
        <f>SUM(F18:F22)</f>
        <v>134682116.03</v>
      </c>
      <c r="G24">
        <f>SUM(G18:G22)</f>
        <v>60842538.318000004</v>
      </c>
    </row>
    <row r="25" spans="1:8">
      <c r="F25" t="s">
        <v>502</v>
      </c>
      <c r="G25" s="23">
        <f>G24-D24</f>
        <v>0</v>
      </c>
    </row>
    <row r="26" spans="1:8">
      <c r="F26">
        <f>D24/F24</f>
        <v>0.45174920109250083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2025-07-29T22:57:40Z</dcterms:created>
  <dcterms:modified xsi:type="dcterms:W3CDTF">2026-01-05T23:19:34Z</dcterms:modified>
  <cp:category/>
  <cp:contentStatus/>
</cp:coreProperties>
</file>